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cenarios" sheetId="1" state="visible" r:id="rId3"/>
    <sheet name="Tổng quan" sheetId="2" state="visible" r:id="rId4"/>
    <sheet name="Độ phủ FR" sheetId="3" state="visible" r:id="rId5"/>
  </sheets>
  <definedNames>
    <definedName function="false" hidden="true" localSheetId="0" name="_xlnm._FilterDatabase" vbProcedure="false">'Test Scenarios'!$A$1:$O$188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<sst xmlns="http://schemas.openxmlformats.org/spreadsheetml/2006/main" count="2970" uniqueCount="1356">
  <si>
    <t xml:space="preserve">Service</t>
  </si>
  <si>
    <t xml:space="preserve">Test ID</t>
  </si>
  <si>
    <t xml:space="preserve">FR liên quan</t>
  </si>
  <si>
    <t xml:space="preserve">Quy tắc/NFR liên quan (BR-x / NFR-x — mã chính thức từ BA bản 1.2)</t>
  </si>
  <si>
    <t xml:space="preserve">Loại</t>
  </si>
  <si>
    <t xml:space="preserve">Kịch bản kiểm thử</t>
  </si>
  <si>
    <t xml:space="preserve">Điều kiện tiên quyết</t>
  </si>
  <si>
    <t xml:space="preserve">Các bước thực hiện</t>
  </si>
  <si>
    <t xml:space="preserve">Dữ liệu mẫu</t>
  </si>
  <si>
    <t xml:space="preserve">Kết quả mong đợi</t>
  </si>
  <si>
    <t xml:space="preserve">Ưu tiên</t>
  </si>
  <si>
    <t xml:space="preserve">Nhóm kiểm thử</t>
  </si>
  <si>
    <t xml:space="preserve">Nguồn kịch bản</t>
  </si>
  <si>
    <t xml:space="preserve">Dự kiến khi chạy</t>
  </si>
  <si>
    <t xml:space="preserve">Đối chiếu với BA (25 FR / 10 quy tắc nghiệp vụ)</t>
  </si>
  <si>
    <t xml:space="preserve">Customer Service</t>
  </si>
  <si>
    <t xml:space="preserve">TC-CUST-01</t>
  </si>
  <si>
    <t xml:space="preserve">FR-01</t>
  </si>
  <si>
    <t xml:space="preserve">—</t>
  </si>
  <si>
    <t xml:space="preserve">Positive</t>
  </si>
  <si>
    <t xml:space="preserve">Đăng ký tài khoản khách hàng thành công</t>
  </si>
  <si>
    <t xml:space="preserve">Email chưa tồn tại trong hệ thống</t>
  </si>
  <si>
    <t xml:space="preserve">1. POST /customers/register với fullName, email, password hợp lệ
2. Kiểm tra response</t>
  </si>
  <si>
    <t xml:space="preserve">{fullName:'Nguyễn Văn A', email:'a@test.com', password:'123456'}</t>
  </si>
  <si>
    <t xml:space="preserve">201 Created, trả về token JWT + object customer KHÔNG chứa passwordHash</t>
  </si>
  <si>
    <t xml:space="preserve">Cao</t>
  </si>
  <si>
    <t xml:space="preserve">Chức năng</t>
  </si>
  <si>
    <t xml:space="preserve">File cũ</t>
  </si>
  <si>
    <t xml:space="preserve">PASS (đã kiểm thử tự động)</t>
  </si>
  <si>
    <t xml:space="preserve">Đúng BA</t>
  </si>
  <si>
    <t xml:space="preserve">TC-CUST-02</t>
  </si>
  <si>
    <t xml:space="preserve">Negative</t>
  </si>
  <si>
    <t xml:space="preserve">Đăng ký với email đã tồn tại</t>
  </si>
  <si>
    <t xml:space="preserve">Email đã được đăng ký trước đó</t>
  </si>
  <si>
    <t xml:space="preserve">1. Đăng ký lần 1 thành công
2. Đăng ký lần 2 với cùng email</t>
  </si>
  <si>
    <t xml:space="preserve">email trùng ở cả 2 lần</t>
  </si>
  <si>
    <t xml:space="preserve">409 Conflict, error.code = EMAIL_TAKEN</t>
  </si>
  <si>
    <t xml:space="preserve">TC-CUST-03</t>
  </si>
  <si>
    <t xml:space="preserve">Đăng ký thiếu trường bắt buộc</t>
  </si>
  <si>
    <t xml:space="preserve">Không có</t>
  </si>
  <si>
    <t xml:space="preserve">POST /customers/register thiếu field password</t>
  </si>
  <si>
    <t xml:space="preserve">{fullName:'A', email:'a@test.com'} (thiếu password)</t>
  </si>
  <si>
    <t xml:space="preserve">400 Bad Request, error.code = INVALID_INPUT</t>
  </si>
  <si>
    <t xml:space="preserve">Trung bình</t>
  </si>
  <si>
    <t xml:space="preserve">TC-CUST-04</t>
  </si>
  <si>
    <t xml:space="preserve">Đăng nhập đúng thông tin</t>
  </si>
  <si>
    <t xml:space="preserve">Tài khoản đã tồn tại, đang active</t>
  </si>
  <si>
    <t xml:space="preserve">POST /customers/login với email/password đúng</t>
  </si>
  <si>
    <t xml:space="preserve">email + password đã đăng ký</t>
  </si>
  <si>
    <t xml:space="preserve">200 OK, trả về token JWT mới</t>
  </si>
  <si>
    <t xml:space="preserve">TC-CUST-05</t>
  </si>
  <si>
    <t xml:space="preserve">NFR-4a</t>
  </si>
  <si>
    <t xml:space="preserve">Đăng nhập sai mật khẩu</t>
  </si>
  <si>
    <t xml:space="preserve">Tài khoản đã tồn tại</t>
  </si>
  <si>
    <t xml:space="preserve">POST /customers/login với password sai</t>
  </si>
  <si>
    <t xml:space="preserve">email đúng, password sai</t>
  </si>
  <si>
    <t xml:space="preserve">401 Unauthorized, error.code = INVALID_CREDENTIALS</t>
  </si>
  <si>
    <t xml:space="preserve">TC-CUST-06</t>
  </si>
  <si>
    <t xml:space="preserve">FR-22</t>
  </si>
  <si>
    <t xml:space="preserve">Đăng nhập tài khoản đã bị khóa</t>
  </si>
  <si>
    <t xml:space="preserve">Tài khoản đã bị ops_admin disable (active=false)</t>
  </si>
  <si>
    <t xml:space="preserve">POST /customers/login với thông tin đúng của tài khoản đã khóa</t>
  </si>
  <si>
    <t xml:space="preserve">email/password đúng nhưng active=false</t>
  </si>
  <si>
    <t xml:space="preserve">403 Forbidden, error.code = ACCOUNT_DISABLED</t>
  </si>
  <si>
    <t xml:space="preserve">TC-CUST-07</t>
  </si>
  <si>
    <t xml:space="preserve">Gọi API cần xác thực mà không có token</t>
  </si>
  <si>
    <t xml:space="preserve">GET /customers/me không kèm Authorization header</t>
  </si>
  <si>
    <t xml:space="preserve">Không có token</t>
  </si>
  <si>
    <t xml:space="preserve">401 Unauthorized, error.code = UNAUTHORIZED</t>
  </si>
  <si>
    <t xml:space="preserve">Bảo mật</t>
  </si>
  <si>
    <t xml:space="preserve">TC-CUST-08</t>
  </si>
  <si>
    <t xml:space="preserve">Cập nhật thông tin cá nhân</t>
  </si>
  <si>
    <t xml:space="preserve">Đã đăng nhập với token customer hợp lệ</t>
  </si>
  <si>
    <t xml:space="preserve">PUT /customers/me với fullName/phone mới</t>
  </si>
  <si>
    <t xml:space="preserve">{fullName:'Tên mới', phone:'0900000009'}</t>
  </si>
  <si>
    <t xml:space="preserve">200 OK, dữ liệu trả về đã cập nhật đúng, updatedAt thay đổi</t>
  </si>
  <si>
    <t xml:space="preserve">TC-CUST-09</t>
  </si>
  <si>
    <t xml:space="preserve">FR-20</t>
  </si>
  <si>
    <t xml:space="preserve">Khách hàng cố tra cứu hồ sơ khách khác</t>
  </si>
  <si>
    <t xml:space="preserve">Đăng nhập bằng token role=customer</t>
  </si>
  <si>
    <t xml:space="preserve">GET /customers/{id} của khách hàng khác</t>
  </si>
  <si>
    <t xml:space="preserve">token role customer, id không phải chính mình</t>
  </si>
  <si>
    <t xml:space="preserve">403 Forbidden (chỉ ops_staff/ops_admin được tra cứu theo id)</t>
  </si>
  <si>
    <t xml:space="preserve">TC-CUST-10</t>
  </si>
  <si>
    <t xml:space="preserve">Ops_staff xem danh sách toàn bộ khách hàng</t>
  </si>
  <si>
    <t xml:space="preserve">Có token role=ops_staff</t>
  </si>
  <si>
    <t xml:space="preserve">GET /customers/all</t>
  </si>
  <si>
    <t xml:space="preserve">token ops_staff</t>
  </si>
  <si>
    <t xml:space="preserve">200 OK, trả về mảng toàn bộ khách hàng, không chứa passwordHash</t>
  </si>
  <si>
    <t xml:space="preserve">TC-CUST-11</t>
  </si>
  <si>
    <t xml:space="preserve">BR-8, NFR-4a</t>
  </si>
  <si>
    <t xml:space="preserve">ops_staff (không phải ops_admin) cố khóa tài khoản khách hàng bằng API trực tiếp</t>
  </si>
  <si>
    <t xml:space="preserve">Có khách hàng đang active; có token ops_staff</t>
  </si>
  <si>
    <t xml:space="preserve">1. Đăng ký khách hàng 2. PATCH /customers/{id}/disable bằng token ops_staff 3. Đăng nhập lại bằng tài khoản đó</t>
  </si>
  <si>
    <t xml:space="preserve">token ops_staff, id khách vừa tạo</t>
  </si>
  <si>
    <t xml:space="preserve">Bước 2: 403 Forbidden. Bước 3: 200 OK (tài khoản vẫn active). Khác TC-ADM-03 ở chỗ gọi thẳng Customer Service, không đi qua Admin Service</t>
  </si>
  <si>
    <t xml:space="preserve">TS-IDN-014</t>
  </si>
  <si>
    <t xml:space="preserve">PASS</t>
  </si>
  <si>
    <t xml:space="preserve">TC-CUST-12</t>
  </si>
  <si>
    <t xml:space="preserve">Đăng ký thiếu email hoặc thiếu họ tên</t>
  </si>
  <si>
    <t xml:space="preserve">1. POST /customers/register thiếu email 2. POST /customers/register thiếu fullName</t>
  </si>
  <si>
    <t xml:space="preserve">{fullName:'A', password:'123456'} và {email:'b@test.com', password:'123456'}</t>
  </si>
  <si>
    <t xml:space="preserve">Cả hai ca: 400 Bad Request, error.code = INVALID_INPUT; không tạo tài khoản</t>
  </si>
  <si>
    <t xml:space="preserve">Bổ sung (mở rộng TC-CUST-03)</t>
  </si>
  <si>
    <t xml:space="preserve">TC-CUST-13</t>
  </si>
  <si>
    <t xml:space="preserve">NFR-4b</t>
  </si>
  <si>
    <t xml:space="preserve">Đăng nhập với email dạng toán tử NoSQL hoặc thiếu email không được trả token</t>
  </si>
  <si>
    <t xml:space="preserve">Có 1 khách đăng ký với email và mật khẩu riêng (dữ liệu cố định, không phụ thuộc tài khoản khác)</t>
  </si>
  <si>
    <t xml:space="preserve">1. Đăng ký khách với email 'inj-&lt;uuid&gt;@test.com' và mật khẩu 'Pw-&lt;uuid&gt;' 2. POST /customers/login với email là đối tượng {"$regex":"^inj-&lt;uuid&gt;"} kèm mật khẩu đúng 3. POST /customers/login chỉ có password 4. POST /customers/login với body rỗng</t>
  </si>
  <si>
    <t xml:space="preserve">email là đối tượng JSON thay vì chuỗi</t>
  </si>
  <si>
    <t xml:space="preserve">Bước 2: 400 INVALID_INPUT, không có token (email bắt buộc là chuỗi). Bước 3 và 4: 400 hoặc 401, không có token</t>
  </si>
  <si>
    <t xml:space="preserve">Bổ sung (rà soát mã nguồn, đã thử nghiệm với Mongoose 8)</t>
  </si>
  <si>
    <t xml:space="preserve">FAIL: toán tử trong email đi thẳng xuống MongoDB nên bước 2 trả 200 kèm token (đã xác nhận ở mức driver, chưa chạy MongoDB thật). Bước 3 và 4 dự kiến PASS vì MongoDB nhận {email:null}, không khớp tài khoản nào</t>
  </si>
  <si>
    <t xml:space="preserve">Lệch BA: NFR-4b (đề xuất bổ sung ở bản 1.1, chờ khách hàng xác nhận (Mục 9) - kiểm tra dữ liệu đầu vào trước khi xác thực)</t>
  </si>
  <si>
    <t xml:space="preserve">TC-CUST-14</t>
  </si>
  <si>
    <t xml:space="preserve">Email trùng nhau chỉ khác chữ hoa và chữ thường</t>
  </si>
  <si>
    <t xml:space="preserve">Chưa có tài khoản nào với email này</t>
  </si>
  <si>
    <t xml:space="preserve">1. Đăng ký với 'user.case@test.com' 2. Đăng ký lại với 'User.Case@Test.com'</t>
  </si>
  <si>
    <t xml:space="preserve">2 email chỉ khác hoa/thường</t>
  </si>
  <si>
    <t xml:space="preserve">Bước 2: 409 Conflict, error.code = EMAIL_TAKEN (email không phân biệt hoa/thường)</t>
  </si>
  <si>
    <t xml:space="preserve">Biên</t>
  </si>
  <si>
    <t xml:space="preserve">Bổ sung</t>
  </si>
  <si>
    <t xml:space="preserve">FAIL: hiện so khớp email chính xác nên bước 2 trả 201; cần chuẩn hóa email về chữ thường</t>
  </si>
  <si>
    <t xml:space="preserve">BA chưa quy định (không nói về phân biệt hoa/thường của định danh); lỗi kỹ thuật nên sửa để tránh trùng tài khoản</t>
  </si>
  <si>
    <t xml:space="preserve">TC-CUST-15</t>
  </si>
  <si>
    <t xml:space="preserve">Không lộ passwordHash ở GET và PUT /customers/me</t>
  </si>
  <si>
    <t xml:space="preserve">Khách đã đăng nhập</t>
  </si>
  <si>
    <t xml:space="preserve">1. GET /customers/me 2. PUT /customers/me {fullName:'Tên mới'} 3. Kiểm tra body của cả hai phản hồi</t>
  </si>
  <si>
    <t xml:space="preserve">token customer</t>
  </si>
  <si>
    <t xml:space="preserve">Cả hai phản hồi 200; object customer không có passwordHash, không có _id và __v</t>
  </si>
  <si>
    <t xml:space="preserve">Bổ sung (mở rộng TC-CUST-01)</t>
  </si>
  <si>
    <t xml:space="preserve">TC-CUST-16</t>
  </si>
  <si>
    <t xml:space="preserve">PUT /customers/me bỏ qua các trường không được phép sửa</t>
  </si>
  <si>
    <t xml:space="preserve">Khách đã đăng nhập, đang active</t>
  </si>
  <si>
    <t xml:space="preserve">1. PUT /customers/me {fullName:'B', email:'hack@test.com', active:false, passwordHash:'x'} 2. GET /customers/me 3. Đăng nhập bằng email cũ</t>
  </si>
  <si>
    <t xml:space="preserve">các trường ngoài danh sách cho phép</t>
  </si>
  <si>
    <t xml:space="preserve">200 OK; chỉ fullName đổi; email, active, passwordHash giữ nguyên; đăng nhập bằng email cũ vẫn thành công</t>
  </si>
  <si>
    <t xml:space="preserve">TC-CUST-17</t>
  </si>
  <si>
    <t xml:space="preserve">Đăng nhập bằng email không tồn tại trả cùng lỗi với sai mật khẩu</t>
  </si>
  <si>
    <t xml:space="preserve">Email chưa từng đăng ký</t>
  </si>
  <si>
    <t xml:space="preserve">1. POST /customers/login với email không tồn tại 2. So sánh phản hồi với ca sai mật khẩu ở TC-CUST-05</t>
  </si>
  <si>
    <t xml:space="preserve">'khong-ton-tai@test.com'</t>
  </si>
  <si>
    <t xml:space="preserve">401 Unauthorized, error.code = INVALID_CREDENTIALS, cùng thông điệp với ca sai mật khẩu (không tiết lộ email có tồn tại hay không)</t>
  </si>
  <si>
    <t xml:space="preserve">TC-CUST-18</t>
  </si>
  <si>
    <t xml:space="preserve">Token tài xế không truy cập được hồ sơ khách hàng</t>
  </si>
  <si>
    <t xml:space="preserve">Có token role=driver</t>
  </si>
  <si>
    <t xml:space="preserve">1. GET /customers/me bằng token driver 2. PUT /customers/me bằng token driver</t>
  </si>
  <si>
    <t xml:space="preserve">token driver</t>
  </si>
  <si>
    <t xml:space="preserve">Cả hai ca: 403 Forbidden</t>
  </si>
  <si>
    <t xml:space="preserve">TC-CUST-19</t>
  </si>
  <si>
    <t xml:space="preserve">ops_staff tra cứu khách theo id, gồm id tồn tại và không tồn tại</t>
  </si>
  <si>
    <t xml:space="preserve">Có token ops_staff; có 1 khách đã đăng ký</t>
  </si>
  <si>
    <t xml:space="preserve">1. GET /customers/{id} hợp lệ 2. GET /customers/{uuid-không-tồn-tại}</t>
  </si>
  <si>
    <t xml:space="preserve">Bước 1: 200 OK, không có passwordHash. Bước 2: 404 Not Found, error.code = CUSTOMER_NOT_FOUND</t>
  </si>
  <si>
    <t xml:space="preserve">TC-CUST-20</t>
  </si>
  <si>
    <t xml:space="preserve">Token cũ của khách đã bị khóa không còn dùng được</t>
  </si>
  <si>
    <t xml:space="preserve">Khách đã đăng nhập và giữ token; ops_admin khóa tài khoản đó</t>
  </si>
  <si>
    <t xml:space="preserve">1. Đăng ký, lưu token 2. ops_admin PATCH /customers/{id}/disable 3. GET /customers/me bằng token đã lưu</t>
  </si>
  <si>
    <t xml:space="preserve">token cấp trước khi khóa</t>
  </si>
  <si>
    <t xml:space="preserve">Bước 3: 403 Forbidden (ACCOUNT_DISABLED) hoặc 401. Hiện tại dự kiến 200 vì token vẫn hợp lệ</t>
  </si>
  <si>
    <t xml:space="preserve">TS-IDN-008 (mở rộng)</t>
  </si>
  <si>
    <t xml:space="preserve">FAIL: hiện chỉ chặn ở bước đăng nhập, chưa kiểm active khi xác thực</t>
  </si>
  <si>
    <t xml:space="preserve">Lệch BA: NFR-4a (kiểm soát quyền truy cập) và FR-22 (khóa tài khoản là thao tác nhạy cảm, cần có hiệu lực ngay)</t>
  </si>
  <si>
    <t xml:space="preserve">TC-CUST-21</t>
  </si>
  <si>
    <t xml:space="preserve">Mật khẩu khách hàng lưu trong DB không được ở dạng plaintext</t>
  </si>
  <si>
    <t xml:space="preserve">1. POST /customers/register 2. Đọc thẳng file dữ liệu Customer Service trên đĩa (không qua API), tìm bản ghi vừa tạo theo email</t>
  </si>
  <si>
    <t xml:space="preserve">{email, password:"Test@123400", fullName}</t>
  </si>
  <si>
    <t xml:space="preserve">Trường mật khẩu lưu trong file khác hoàn toàn chuỗi gốc và dài hơn đáng kể (đã băm/mã hóa, không phải plaintext)</t>
  </si>
  <si>
    <t xml:space="preserve">Bảng chấm thực hành, mục 24</t>
  </si>
  <si>
    <t xml:space="preserve">Cần xác nhận: đây là gap có độ chắc chắn thấp nhất trong 7 gap - không có căn cứ nào xác nhận tên/đường dẫn file dữ liệu thật của Customer Service (README chỉ nói chung 'data/*.json'). Test tự dò 3 dạng cấu trúc file phổ biến và báo lỗi rõ nếu đoán sai đường dẫn, thay vì lỗi khó hiểu. Đã kiểm chứng logic đọc/so khớp đúng hai chiều (plaintext -&gt; fail, đã băm -&gt; pass) qua server giả lập có cấu trúc thư mục thật</t>
  </si>
  <si>
    <t xml:space="preserve">Chưa xác định</t>
  </si>
  <si>
    <t xml:space="preserve">Driver Service</t>
  </si>
  <si>
    <t xml:space="preserve">TC-DRV-01</t>
  </si>
  <si>
    <t xml:space="preserve">FR-02</t>
  </si>
  <si>
    <t xml:space="preserve">Tài xế tự đăng ký kèm phương tiện</t>
  </si>
  <si>
    <t xml:space="preserve">Email chưa tồn tại</t>
  </si>
  <si>
    <t xml:space="preserve">POST /drivers/register với vehicle {plate, model, type}</t>
  </si>
  <si>
    <t xml:space="preserve">{fullName, email, password, vehicle:{plate:'51H-123.45', model:'Vios', type:'4-seat'}}</t>
  </si>
  <si>
    <t xml:space="preserve">201 Created, driver.status mặc định = 'offline'</t>
  </si>
  <si>
    <t xml:space="preserve">TC-DRV-02</t>
  </si>
  <si>
    <t xml:space="preserve">Đăng ký tài xế trùng email</t>
  </si>
  <si>
    <t xml:space="preserve">Email đã tồn tại</t>
  </si>
  <si>
    <t xml:space="preserve">POST /drivers/register với email đã dùng</t>
  </si>
  <si>
    <t xml:space="preserve">email trùng</t>
  </si>
  <si>
    <t xml:space="preserve">TC-DRV-03</t>
  </si>
  <si>
    <t xml:space="preserve">Nhân viên vận hành tạo tài khoản tài xế</t>
  </si>
  <si>
    <t xml:space="preserve">POST /drivers (không phải /drivers/register) kèm token ops_staff</t>
  </si>
  <si>
    <t xml:space="preserve">token ops_staff + thông tin tài xế</t>
  </si>
  <si>
    <t xml:space="preserve">201 Created, driver.createdByStaff = true</t>
  </si>
  <si>
    <t xml:space="preserve">TC-DRV-04</t>
  </si>
  <si>
    <t xml:space="preserve">Khách hàng cố tạo tài khoản tài xế</t>
  </si>
  <si>
    <t xml:space="preserve">Có token role=customer</t>
  </si>
  <si>
    <t xml:space="preserve">POST /drivers với token customer</t>
  </si>
  <si>
    <t xml:space="preserve">403 Forbidden</t>
  </si>
  <si>
    <t xml:space="preserve">TC-DRV-05</t>
  </si>
  <si>
    <t xml:space="preserve">FR-11</t>
  </si>
  <si>
    <t xml:space="preserve">Cập nhật trạng thái tài xế với giá trị không hợp lệ</t>
  </si>
  <si>
    <t xml:space="preserve">Đã đăng nhập role driver</t>
  </si>
  <si>
    <t xml:space="preserve">PATCH /drivers/me/status với status ngoài enum</t>
  </si>
  <si>
    <t xml:space="preserve">{status:'dang_lam_viec'}</t>
  </si>
  <si>
    <t xml:space="preserve">400 Bad Request, error.code = INVALID_STATUS</t>
  </si>
  <si>
    <t xml:space="preserve">TC-DRV-06</t>
  </si>
  <si>
    <t xml:space="preserve">Tài xế chuyển sang sẵn sàng nhận chuyến</t>
  </si>
  <si>
    <t xml:space="preserve">PATCH /drivers/me/status {status:'available'}</t>
  </si>
  <si>
    <t xml:space="preserve">status hợp lệ trong [offline, available, busy]</t>
  </si>
  <si>
    <t xml:space="preserve">200 OK, driver.status = 'available'</t>
  </si>
  <si>
    <t xml:space="preserve">TC-DRV-07</t>
  </si>
  <si>
    <t xml:space="preserve">Cập nhật phương tiện thiếu trường bắt buộc</t>
  </si>
  <si>
    <t xml:space="preserve">PUT /drivers/me/vehicle thiếu field 'type'</t>
  </si>
  <si>
    <t xml:space="preserve">{plate:'51H-1', model:'Vios'} (thiếu type)</t>
  </si>
  <si>
    <t xml:space="preserve">Thấp</t>
  </si>
  <si>
    <t xml:space="preserve">TC-DRV-08</t>
  </si>
  <si>
    <t xml:space="preserve">FR-06</t>
  </si>
  <si>
    <t xml:space="preserve">Lấy danh sách tài xế đang available (service-to-service)</t>
  </si>
  <si>
    <t xml:space="preserve">Có ít nhất 1 tài xế đang status=available</t>
  </si>
  <si>
    <t xml:space="preserve">GET /drivers?status=available (không cần token)</t>
  </si>
  <si>
    <t xml:space="preserve">query status=available</t>
  </si>
  <si>
    <t xml:space="preserve">200 OK, danh sách chỉ gồm tài xế available, không chứa passwordHash. Endpoint hiện không yêu cầu xác thực dịch vụ - xem TC-DRV-18.</t>
  </si>
  <si>
    <t xml:space="preserve">Lệch BA: NFR-4b (đề xuất bổ sung ở bản 1.1, chờ khách hàng xác nhận (Mục 9)) - endpoint này chính là endpoint được nêu ở TC-DRV-18</t>
  </si>
  <si>
    <t xml:space="preserve">TC-DRV-09</t>
  </si>
  <si>
    <t xml:space="preserve">BR-8</t>
  </si>
  <si>
    <t xml:space="preserve">Ops_admin khóa tài khoản tài xế</t>
  </si>
  <si>
    <t xml:space="preserve">Có token role=ops_admin</t>
  </si>
  <si>
    <t xml:space="preserve">PATCH /drivers/{id}/disable</t>
  </si>
  <si>
    <t xml:space="preserve">token ops_admin</t>
  </si>
  <si>
    <t xml:space="preserve">200 OK, driver.active = false</t>
  </si>
  <si>
    <t xml:space="preserve">TC-DRV-10</t>
  </si>
  <si>
    <t xml:space="preserve">Tài xế đã bị khóa cố đăng nhập lại</t>
  </si>
  <si>
    <t xml:space="preserve">Tài xế đã bị disable ở TC-DRV-09</t>
  </si>
  <si>
    <t xml:space="preserve">POST /drivers/login với thông tin đúng</t>
  </si>
  <si>
    <t xml:space="preserve">email/password đúng, active=false</t>
  </si>
  <si>
    <t xml:space="preserve">TC-DRV-11</t>
  </si>
  <si>
    <t xml:space="preserve">Đăng ký tài xế bằng email đã có tài khoản khách hàng</t>
  </si>
  <si>
    <t xml:space="preserve">Email đã đăng ký ở Customer Service</t>
  </si>
  <si>
    <t xml:space="preserve">1. Đăng ký khách hàng với email X 2. POST /drivers/register với cùng email X</t>
  </si>
  <si>
    <t xml:space="preserve">cùng một email</t>
  </si>
  <si>
    <t xml:space="preserve">Cả hai 201; hai tài khoản độc lập; token tài xế có role driver</t>
  </si>
  <si>
    <t xml:space="preserve">TS-DRV-003</t>
  </si>
  <si>
    <t xml:space="preserve">TC-DRV-12</t>
  </si>
  <si>
    <t xml:space="preserve">BR-1</t>
  </si>
  <si>
    <t xml:space="preserve">Trạng thái tài xế tự đổi theo vòng đời chuyến</t>
  </si>
  <si>
    <t xml:space="preserve">Tài xế available, có chuyến đang tìm tài xế ở gần</t>
  </si>
  <si>
    <t xml:space="preserve">1. Tài xế accept chuyến 2. GET /drivers/me 3. Hoàn thành hoặc hủy chuyến 4. GET /drivers/me</t>
  </si>
  <si>
    <t xml:space="preserve">1 tài xế, 1 chuyến</t>
  </si>
  <si>
    <t xml:space="preserve">Sau bước 1: status = busy. Sau bước 3: status trở lại available. Hiện tại dự kiến status vẫn available suốt quá trình</t>
  </si>
  <si>
    <t xml:space="preserve">Tích hợp</t>
  </si>
  <si>
    <t xml:space="preserve">Bổ sung (suy ra từ quy tắc nghiệp vụ: tài xế chỉ nhận yêu cầu ghép chuyến khi đang sẵn sàng)</t>
  </si>
  <si>
    <t xml:space="preserve">FAIL: Driver Service chưa subscribe DriverAssigned, TripCompleted</t>
  </si>
  <si>
    <t xml:space="preserve">Lệch BA: BR-1 - tài xế chỉ nhận yêu cầu ghép chuyến khi đang ở trạng thái sẵn sàng nhận chuyến</t>
  </si>
  <si>
    <t xml:space="preserve">TC-DRV-13</t>
  </si>
  <si>
    <t xml:space="preserve">Tài xế đang có chuyến đã nhận không sửa được hồ sơ</t>
  </si>
  <si>
    <t xml:space="preserve">Tài xế có 1 chuyến đã accept thật (chuyến ở driver_assigned)</t>
  </si>
  <si>
    <t xml:space="preserve">1. Tài xế accept chuyến 2. PUT /drivers/me {fullName:'Tên mới'} 3. GET /drivers/me</t>
  </si>
  <si>
    <t xml:space="preserve">fullName mới</t>
  </si>
  <si>
    <t xml:space="preserve">Bước 2: 403 hoặc 409 kèm mã lỗi rõ ràng; bước 3: hồ sơ không đổi. Hiện tại dự kiến bước 2 trả 200</t>
  </si>
  <si>
    <t xml:space="preserve">TS-DRV-008</t>
  </si>
  <si>
    <t xml:space="preserve">FAIL: updateProfile chưa kiểm tài xế đang có chuyến</t>
  </si>
  <si>
    <t xml:space="preserve">BA chưa quy định cụ thể; lỗi hợp lý nên sửa để tránh đổi thông tin phương tiện giữa chuyến</t>
  </si>
  <si>
    <t xml:space="preserve">TC-DRV-14</t>
  </si>
  <si>
    <t xml:space="preserve">Đăng nhập tài xế thành công</t>
  </si>
  <si>
    <t xml:space="preserve">Tài xế đã đăng ký, đang active</t>
  </si>
  <si>
    <t xml:space="preserve">1. POST /drivers/login đúng email và mật khẩu 2. GET /drivers/me bằng token nhận được</t>
  </si>
  <si>
    <t xml:space="preserve">Bước 1: 200 OK, có token (role driver), driver không chứa passwordHash. Bước 2: 200 OK</t>
  </si>
  <si>
    <t xml:space="preserve">TC-DRV-15</t>
  </si>
  <si>
    <t xml:space="preserve">Đăng nhập tài xế thất bại, gồm email dạng toán tử NoSQL</t>
  </si>
  <si>
    <t xml:space="preserve">Tài xế đã đăng ký với email và mật khẩu riêng (dữ liệu cố định)</t>
  </si>
  <si>
    <t xml:space="preserve">1. Sai mật khẩu 2. Email không tồn tại 3. Email là đối tượng {"$regex":"^drv-&lt;uuid&gt;"} kèm mật khẩu đúng của tài xế test</t>
  </si>
  <si>
    <t xml:space="preserve">3 ca độc lập</t>
  </si>
  <si>
    <t xml:space="preserve">Ca 1 và 2: 401 INVALID_CREDENTIALS, cùng thông điệp. Ca 3: 400 INVALID_INPUT, không có token</t>
  </si>
  <si>
    <t xml:space="preserve">FAIL: ca 3 do toán tử đi thẳng xuống MongoDB (đã xác nhận ở mức driver); ca 1 và 2 dự kiến PASS</t>
  </si>
  <si>
    <t xml:space="preserve">Lệch BA: NFR-4b (đề xuất bổ sung ở bản 1.1, chờ khách hàng xác nhận (Mục 9))</t>
  </si>
  <si>
    <t xml:space="preserve">TC-DRV-16</t>
  </si>
  <si>
    <t xml:space="preserve">BR-1, NFR-4a</t>
  </si>
  <si>
    <t xml:space="preserve">Tài xế không tự đặt được trạng thái busy</t>
  </si>
  <si>
    <t xml:space="preserve">Tài xế đã đăng nhập, không có chuyến</t>
  </si>
  <si>
    <t xml:space="preserve">PATCH /drivers/me/status {status:'busy'}</t>
  </si>
  <si>
    <t xml:space="preserve">{status:'busy'}</t>
  </si>
  <si>
    <t xml:space="preserve">400 hoặc 403; status không đổi (busy chỉ do hệ thống đặt khi nhận chuyến)</t>
  </si>
  <si>
    <t xml:space="preserve">Bổ sung (cùng căn cứ với TC-DRV-12)</t>
  </si>
  <si>
    <t xml:space="preserve">FAIL: danh sách trạng thái hợp lệ hiện gồm cả busy nên tài xế tự đặt được</t>
  </si>
  <si>
    <t xml:space="preserve">Lệch BA: cùng BR-1 với TC-DRV-12</t>
  </si>
  <si>
    <t xml:space="preserve">TC-DRV-17</t>
  </si>
  <si>
    <t xml:space="preserve">Cập nhật phương tiện hợp lệ</t>
  </si>
  <si>
    <t xml:space="preserve">Tài xế đã đăng nhập</t>
  </si>
  <si>
    <t xml:space="preserve">1. PUT /drivers/me/vehicle với đủ plate, model, type 2. GET /drivers/me</t>
  </si>
  <si>
    <t xml:space="preserve">{plate:'51H-999.99', model:'Innova', type:'7-seat'}</t>
  </si>
  <si>
    <t xml:space="preserve">200 OK; vehicle mới lưu đủ 3 trường; GET /drivers/me trả đúng dữ liệu mới</t>
  </si>
  <si>
    <t xml:space="preserve">Bổ sung (đối ứng TC-DRV-07)</t>
  </si>
  <si>
    <t xml:space="preserve">TC-DRV-18</t>
  </si>
  <si>
    <t xml:space="preserve">Danh sách tài xế available không mở cho người gọi bên ngoài</t>
  </si>
  <si>
    <t xml:space="preserve">Có tài xế đang available</t>
  </si>
  <si>
    <t xml:space="preserve">1. GET /drivers?status=available qua gateway, không token 2. Gọi lại bằng token customer</t>
  </si>
  <si>
    <t xml:space="preserve">không có Authorization</t>
  </si>
  <si>
    <t xml:space="preserve">Bước 1: 401 hoặc 403. Bước 2: 403 (endpoint chỉ dành cho service khác, dùng token dịch vụ). Hiện tại dự kiến 200 kèm danh sách tài xế</t>
  </si>
  <si>
    <t xml:space="preserve">Bổ sung (đối ứng TC-DRV-08)</t>
  </si>
  <si>
    <t xml:space="preserve">FAIL: route không yêu cầu xác thực; Dispatch đang gọi không kèm token</t>
  </si>
  <si>
    <t xml:space="preserve">Lệch BA: NFR-4b (đề xuất bổ sung ở bản 1.1, chờ khách hàng xác nhận (Mục 9) - xác thực giữa các thành phần)</t>
  </si>
  <si>
    <t xml:space="preserve">TC-DRV-19</t>
  </si>
  <si>
    <t xml:space="preserve">Danh sách toàn bộ tài xế chỉ dành cho ops</t>
  </si>
  <si>
    <t xml:space="preserve">Có tài xế đã đăng ký; có token ops_staff và token customer</t>
  </si>
  <si>
    <t xml:space="preserve">1. GET /drivers/all bằng ops_staff 2. GET /drivers/all bằng customer</t>
  </si>
  <si>
    <t xml:space="preserve">2 token</t>
  </si>
  <si>
    <t xml:space="preserve">Bước 1: 200 OK, mảng tài xế, không có passwordHash. Bước 2: 403 Forbidden</t>
  </si>
  <si>
    <t xml:space="preserve">Cần xác nhận (chốt được bằng cách đọc file route, không cần chạy thử): phụ thuộc cấu hình phân quyền của route /drivers/all</t>
  </si>
  <si>
    <t xml:space="preserve">TC-DRV-20</t>
  </si>
  <si>
    <t xml:space="preserve">ops_staff cố khóa tài khoản tài xế</t>
  </si>
  <si>
    <t xml:space="preserve">Có tài xế active; có token ops_staff</t>
  </si>
  <si>
    <t xml:space="preserve">1. PATCH /drivers/{id}/disable bằng ops_staff 2. Đăng nhập tài xế đó</t>
  </si>
  <si>
    <t xml:space="preserve">Bước 1: 403 Forbidden. Bước 2: 200 OK (tài xế vẫn active)</t>
  </si>
  <si>
    <t xml:space="preserve">Trip Service</t>
  </si>
  <si>
    <t xml:space="preserve">TC-TRIP-01</t>
  </si>
  <si>
    <t xml:space="preserve">FR-03</t>
  </si>
  <si>
    <t xml:space="preserve">Khách hàng tạo yêu cầu đặt xe hợp lệ</t>
  </si>
  <si>
    <t xml:space="preserve">Đã đăng nhập role customer</t>
  </si>
  <si>
    <t xml:space="preserve">POST /trips với pickupLocation, dropoffLocation, vehicleType</t>
  </si>
  <si>
    <t xml:space="preserve">{pickupLocation:{lat,lng}, dropoffLocation:{lat,lng}, vehicleType:'4-seat'}</t>
  </si>
  <si>
    <t xml:space="preserve">201 Created, status ban đầu = 'finding_driver', event TripRequested được publish</t>
  </si>
  <si>
    <t xml:space="preserve">TC-TRIP-02</t>
  </si>
  <si>
    <t xml:space="preserve">Tạo chuyến thiếu dropoffLocation</t>
  </si>
  <si>
    <t xml:space="preserve">POST /trips thiếu field dropoffLocation</t>
  </si>
  <si>
    <t xml:space="preserve">thiếu dropoffLocation</t>
  </si>
  <si>
    <t xml:space="preserve">TC-TRIP-03</t>
  </si>
  <si>
    <t xml:space="preserve">Tài xế cố tạo yêu cầu đặt xe</t>
  </si>
  <si>
    <t xml:space="preserve">POST /trips với token driver</t>
  </si>
  <si>
    <t xml:space="preserve">403 Forbidden (chỉ customer được tạo trip)</t>
  </si>
  <si>
    <t xml:space="preserve">TC-TRIP-04</t>
  </si>
  <si>
    <t xml:space="preserve">FR-04</t>
  </si>
  <si>
    <t xml:space="preserve">Người không liên quan xem chi tiết chuyến</t>
  </si>
  <si>
    <t xml:space="preserve">Trip thuộc về khách hàng A</t>
  </si>
  <si>
    <t xml:space="preserve">GET /trips/{id} bằng token của khách hàng B</t>
  </si>
  <si>
    <t xml:space="preserve">token customer B, id thuộc customer A</t>
  </si>
  <si>
    <t xml:space="preserve">TC-TRIP-05</t>
  </si>
  <si>
    <t xml:space="preserve">FR-13</t>
  </si>
  <si>
    <t xml:space="preserve">Tài xế cập nhật trạng thái sai thứ tự</t>
  </si>
  <si>
    <t xml:space="preserve">Trip đang ở status='driver_assigned'</t>
  </si>
  <si>
    <t xml:space="preserve">PATCH /trips/{id}/status {status:'in_progress'} (bỏ qua arrived, picked_up)</t>
  </si>
  <si>
    <t xml:space="preserve">target status không nằm trong DRIVER_TRANSITIONS hợp lệ</t>
  </si>
  <si>
    <t xml:space="preserve">409 Conflict, error.code = INVALID_TRANSITION</t>
  </si>
  <si>
    <t xml:space="preserve">TC-TRIP-06</t>
  </si>
  <si>
    <t xml:space="preserve">Tài xế không thuộc chuyến cố cập nhật trạng thái</t>
  </si>
  <si>
    <t xml:space="preserve">Trip đã gán cho tài xế A</t>
  </si>
  <si>
    <t xml:space="preserve">PATCH /trips/{id}/status bằng token tài xế B</t>
  </si>
  <si>
    <t xml:space="preserve">token driver B ≠ trip.driverId</t>
  </si>
  <si>
    <t xml:space="preserve">TC-TRIP-07</t>
  </si>
  <si>
    <t xml:space="preserve">FR-13, FR-14</t>
  </si>
  <si>
    <t xml:space="preserve">BR-5</t>
  </si>
  <si>
    <t xml:space="preserve">Hoàn thành chuyến, tự động tính cước</t>
  </si>
  <si>
    <t xml:space="preserve">Trip đang ở status='in_progress'</t>
  </si>
  <si>
    <t xml:space="preserve">PATCH /trips/{id}/status {status:'completed', distanceKm, durationMin}</t>
  </si>
  <si>
    <t xml:space="preserve">distanceKm:5, durationMin:15</t>
  </si>
  <si>
    <t xml:space="preserve">200 OK, status='completed', fareAmount là số &gt; 0, event TripCompleted + FareCalculated được publish</t>
  </si>
  <si>
    <t xml:space="preserve">BA chưa quy định cách đo quãng đường/thời gian cụ thể</t>
  </si>
  <si>
    <t xml:space="preserve">TC-TRIP-08</t>
  </si>
  <si>
    <t xml:space="preserve">FR-24</t>
  </si>
  <si>
    <t xml:space="preserve">Hủy chuyến khi đang thực hiện giữa đường</t>
  </si>
  <si>
    <t xml:space="preserve">POST /trips/{id}/cancel</t>
  </si>
  <si>
    <t xml:space="preserve">trip.status = in_progress (không nằm trong CANCELLABLE_STATUSES)</t>
  </si>
  <si>
    <t xml:space="preserve">409 Conflict, error.code = NOT_CANCELLABLE</t>
  </si>
  <si>
    <t xml:space="preserve">Đúng BA: FR-24 (khách không tự hủy được từ khi đã đón khách trở đi; khớp 409 NOT_CANCELLABLE)</t>
  </si>
  <si>
    <t xml:space="preserve">TC-TRIP-09</t>
  </si>
  <si>
    <t xml:space="preserve">FR-05</t>
  </si>
  <si>
    <t xml:space="preserve">Đánh giá tài xế khi chuyến chưa hoàn thành</t>
  </si>
  <si>
    <t xml:space="preserve">Trip đang ở status khác 'completed'</t>
  </si>
  <si>
    <t xml:space="preserve">POST /trips/{id}/rating {score:5}</t>
  </si>
  <si>
    <t xml:space="preserve">trip.status ≠ completed</t>
  </si>
  <si>
    <t xml:space="preserve">409 Conflict, error.code = TRIP_NOT_COMPLETED</t>
  </si>
  <si>
    <t xml:space="preserve">TC-TRIP-10</t>
  </si>
  <si>
    <t xml:space="preserve">Đánh giá 2 lần cho cùng 1 chuyến</t>
  </si>
  <si>
    <t xml:space="preserve">Chuyến đã được đánh giá 1 lần</t>
  </si>
  <si>
    <t xml:space="preserve">POST /trips/{id}/rating lần thứ 2</t>
  </si>
  <si>
    <t xml:space="preserve">cùng tripId đã có rating</t>
  </si>
  <si>
    <t xml:space="preserve">409 Conflict, error.code = ALREADY_RATED</t>
  </si>
  <si>
    <t xml:space="preserve">TC-TRIP-11</t>
  </si>
  <si>
    <t xml:space="preserve">Đánh giá với điểm ngoài khoảng cho phép</t>
  </si>
  <si>
    <t xml:space="preserve">Chuyến đã hoàn thành, chưa được đánh giá</t>
  </si>
  <si>
    <t xml:space="preserve">POST /trips/{id}/rating {score:7}</t>
  </si>
  <si>
    <t xml:space="preserve">score=7 (ngoài khoảng 1-5)</t>
  </si>
  <si>
    <t xml:space="preserve">TC-TRIP-12</t>
  </si>
  <si>
    <t xml:space="preserve">Service khác tra cứu trip qua endpoint nội bộ</t>
  </si>
  <si>
    <t xml:space="preserve">Trip tồn tại</t>
  </si>
  <si>
    <t xml:space="preserve">GET /trips/{id}/internal (không kèm token)</t>
  </si>
  <si>
    <t xml:space="preserve">không có Authorization header</t>
  </si>
  <si>
    <t xml:space="preserve">200 OK, trả đủ thông tin trip (dùng cho Payment/Notification Service). Endpoint hiện không yêu cầu xác thực dịch vụ - xem TC-TRIP-14.</t>
  </si>
  <si>
    <t xml:space="preserve">Lệch BA: NFR-4b (đề xuất bổ sung ở bản 1.1, chờ khách hàng xác nhận (Mục 9)) - endpoint này chính là một trong hai endpoint được nêu ở TC-TRIP-14</t>
  </si>
  <si>
    <t xml:space="preserve">TC-TRIP-13</t>
  </si>
  <si>
    <t xml:space="preserve">Lịch sử chuyến chỉ hiển thị chuyến của chính mình</t>
  </si>
  <si>
    <t xml:space="preserve">2 khách A, B mỗi người có 2 chuyến; 1 tài xế có chuyến với A</t>
  </si>
  <si>
    <t xml:space="preserve">1. GET /customers/me/trips bằng A 2. GET /customers/me/trips bằng B 3. GET /drivers/me/trips bằng tài xế</t>
  </si>
  <si>
    <t xml:space="preserve">token A, token B, token tài xế</t>
  </si>
  <si>
    <t xml:space="preserve">A chỉ thấy 2 chuyến của A, sắp xếp mới đến cũ; B chỉ thấy chuyến của B; tài xế chỉ thấy chuyến của mình</t>
  </si>
  <si>
    <t xml:space="preserve">TS-TRP-020, TS-TRP-034</t>
  </si>
  <si>
    <t xml:space="preserve">TC-TRIP-14</t>
  </si>
  <si>
    <t xml:space="preserve">Endpoint nội bộ của Trip Service không gọi được từ bên ngoài</t>
  </si>
  <si>
    <t xml:space="preserve">Chuyến tồn tại, đang finding_driver</t>
  </si>
  <si>
    <t xml:space="preserve">1. GET /trips/{id}/internal qua gateway, không token 2. POST /trips/events/driver-assigned qua gateway, không xác thực dịch vụ, payload gán một tài xế lạ 3. GET /trips/{id} bằng token chủ chuyến</t>
  </si>
  <si>
    <t xml:space="preserve">không có Authorization, không có token dịch vụ</t>
  </si>
  <si>
    <t xml:space="preserve">Bước 1 và 2: 401 hoặc 403. Bước 3: chuyến vẫn finding_driver, driverId = null. Hiện tại dự kiến bước 1 trả 200 và bước 2 gán được tài xế giả</t>
  </si>
  <si>
    <t xml:space="preserve">Bổ sung (đối ứng TC-TRIP-12)</t>
  </si>
  <si>
    <t xml:space="preserve">FAIL (đã xác nhận bằng test thật ngày 30/09/2026, testcase/tests/trip/TC-TRIP-14.test.js): cả hai endpoint mở qua gateway</t>
  </si>
  <si>
    <t xml:space="preserve">TC-TRIP-15</t>
  </si>
  <si>
    <t xml:space="preserve">FR-03, FR-13, FR-15</t>
  </si>
  <si>
    <t xml:space="preserve">Luồng hoàn chỉnh tiền mặt từ đặt xe đến đánh giá</t>
  </si>
  <si>
    <t xml:space="preserve">1 khách, 1 tài xế available trong 10 km (vùng tọa độ riêng); Pricing, Payment, Notification đang chạy</t>
  </si>
  <si>
    <t xml:space="preserve">1. Khách POST /trips 2. Tài xế nhận offer và accept 3. Tài xế cập nhật arrived, picked_up, in_progress, completed 4. Khách POST /payments method cash 5. Khách đánh giá 5 sao 6. Xem lịch sử của khách và tài xế</t>
  </si>
  <si>
    <t xml:space="preserve">xe 4 chỗ, distanceKm:5, durationMin:15</t>
  </si>
  <si>
    <t xml:space="preserve">Mỗi bước đổi trạng thái trả 200 đúng status; completed có fareAmount bằng công thức từ đơn giá đọc ở GET /pricing/rules (70000 với cấu hình hiện tại); payment success với amount bằng fareAmount; đánh giá được lưu; chuyến có trong lịch sử cả hai bên. Bước thanh toán tiền mặt trong kịch bản này dùng đúng cách khách tự tạo giao dịch hiện tại; nếu câu hỏi 8 (Mục 9) chốt theo hướng tài xế xác nhận, bước và kết quả mong đợi ở đây cần cập nhật lại.</t>
  </si>
  <si>
    <t xml:space="preserve">TS-E2E-001, TS-TRP-023</t>
  </si>
  <si>
    <t xml:space="preserve">Đúng BA (bước tiền mặt phụ thuộc câu hỏi 8, Mục 9)</t>
  </si>
  <si>
    <t xml:space="preserve">TC-TRIP-16</t>
  </si>
  <si>
    <t xml:space="preserve">Tài xế nhảy cóc trạng thái ở nhiều điểm khác nhau</t>
  </si>
  <si>
    <t xml:space="preserve">Có 4 chuyến đã gán tài xế, ở các trạng thái khác nhau</t>
  </si>
  <si>
    <t xml:space="preserve">Thử lần lượt: driver_assigned sang picked_up; driver_assigned sang completed; arrived sang in_progress; picked_up sang completed</t>
  </si>
  <si>
    <t xml:space="preserve">4 ca độc lập trên 4 chuyến</t>
  </si>
  <si>
    <t xml:space="preserve">Cả 4 ca: 409 Conflict, error.code = INVALID_TRANSITION; trạng thái chuyến không đổi</t>
  </si>
  <si>
    <t xml:space="preserve">TS-TRP-024</t>
  </si>
  <si>
    <t xml:space="preserve">TC-TRIP-17</t>
  </si>
  <si>
    <t xml:space="preserve">Mỗi khách chỉ được có 1 chuyến đang hoạt động</t>
  </si>
  <si>
    <t xml:space="preserve">Khách đã có chuyến đang finding_driver</t>
  </si>
  <si>
    <t xml:space="preserve">1. POST /trips lần 1 2. POST /trips lần 2 của cùng khách khi chuyến 1 chưa kết thúc</t>
  </si>
  <si>
    <t xml:space="preserve">2 yêu cầu đặt xe khác nhau</t>
  </si>
  <si>
    <t xml:space="preserve">Lần 2: 409 Conflict (đề xuất mã ACTIVE_TRIP_EXISTS); chỉ có 1 chuyến hoạt động. Hiện tại dự kiến 201</t>
  </si>
  <si>
    <t xml:space="preserve">TS-TRP-006</t>
  </si>
  <si>
    <t xml:space="preserve">FAIL (đã xác nhận bằng test thật ngày 30/09/2026, testcase/tests/trip/TC-TRIP-17.test.js): chưa có luật giới hạn số chuyến hoạt động</t>
  </si>
  <si>
    <t xml:space="preserve">BA chưa quy định cụ thể; lỗi hợp lý nên sửa để tránh một khách theo dõi nhiều chuyến cùng lúc (FR-04)</t>
  </si>
  <si>
    <t xml:space="preserve">TC-TRIP-18</t>
  </si>
  <si>
    <t xml:space="preserve">Bấm đặt xe nhiều lần liên tiếp chỉ tạo một chuyến</t>
  </si>
  <si>
    <t xml:space="preserve">Khách đủ điều kiện đặt xe</t>
  </si>
  <si>
    <t xml:space="preserve">Gửi 3 POST /trips giống hệt nhau song song bằng Promise.all</t>
  </si>
  <si>
    <t xml:space="preserve">cùng pickup, dropoff, vehicleType</t>
  </si>
  <si>
    <t xml:space="preserve">Chỉ 1 chuyến được tạo (các request còn lại 409 hoặc trả về chuyến cũ). Hiện tại dự kiến tạo 3 chuyến</t>
  </si>
  <si>
    <t xml:space="preserve">Đồng thời</t>
  </si>
  <si>
    <t xml:space="preserve">TS-TRP-007</t>
  </si>
  <si>
    <t xml:space="preserve">FAIL (đã xác nhận bằng test thật ngày 30/09/2026, testcase/tests/trip/TC-TRIP-18.test.js): POST /trips chưa idempotent</t>
  </si>
  <si>
    <t xml:space="preserve">BA chưa quy định (lỗi kỹ thuật, cần xử lý idempotent khi gửi trùng yêu cầu)</t>
  </si>
  <si>
    <t xml:space="preserve">TC-TRIP-19</t>
  </si>
  <si>
    <t xml:space="preserve">Hủy chuyến thu hồi offer đang mở và lưu lại lịch sử hủy</t>
  </si>
  <si>
    <t xml:space="preserve">Chuyến đang finding_driver, có tài xế đang giữ offer</t>
  </si>
  <si>
    <t xml:space="preserve">1. POST /trips/{id}/cancel kèm lý do 2. Tài xế GET /dispatch/drivers/me/pending 3. GET lịch sử chuyến của khách, kiểm tra chuyến này hiển thị đã hủy kèm đúng lý do</t>
  </si>
  <si>
    <t xml:space="preserve">{reason: "Khách yêu cầu hủy vì lý do cá nhân"} (lý do bắt buộc từ bản 1.5 của BA, xác nhận qua khách hàng)</t>
  </si>
  <si>
    <t xml:space="preserve">Bước 1: 200, status = cancelled, lý do được lưu lại. Bước 2: data = null (offer đã bị thu hồi). Bước 3: chuyến hiển thị trạng thái cancelled kèm đúng lý do trong lịch sử. Hiện tại dự kiến bước 2 vẫn còn offer</t>
  </si>
  <si>
    <t xml:space="preserve">TS-TRP-013 (bỏ yêu cầu lý do hủy vì chính sách hủy chưa được BA chốt)</t>
  </si>
  <si>
    <t xml:space="preserve">FAIL (đã xác nhận bằng test thật ngày 30/09/2026, testcase/tests/trip/TC-TRIP-19.test.js): Trip Service hủy chuyến không phát sự kiện thu hồi offer sang Dispatch</t>
  </si>
  <si>
    <t xml:space="preserve">BA chưa quy định cơ chế kỹ thuật thu hồi offer khi khách hủy trước khi đón khách (chính sách hủy trước khi đón đã được xác nhận ở FR-24, câu hỏi 4); nhưng cần thu hồi offer để tránh dữ liệu mâu thuẫn, và mọi thao tác quan trọng phải lưu vết (BR-9)</t>
  </si>
  <si>
    <t xml:space="preserve">TC-TRIP-20</t>
  </si>
  <si>
    <t xml:space="preserve">FR-03, FR-08</t>
  </si>
  <si>
    <t xml:space="preserve">Sự kiện trùng lặp hoặc đến trễ không làm lùi trạng thái chuyến</t>
  </si>
  <si>
    <t xml:space="preserve">Chuyến đã gán tài xế và đã sang arrived. Dùng webhook nội bộ như hiện tại; khi endpoint được bảo vệ (TC-TRIP-14) đổi sang token dịch vụ</t>
  </si>
  <si>
    <t xml:space="preserve">1. POST /trips/events/driver-assigned hai lần liên tiếp 2. Khi chuyến ở arrived, gửi lại driver-assigned với tài xế khác 3. Gửi no-driver-found</t>
  </si>
  <si>
    <t xml:space="preserve">payload {tripId, driverId khác}</t>
  </si>
  <si>
    <t xml:space="preserve">Chuyến vẫn ở arrived, driverId không đổi; các webhook trả 200 nhưng bị bỏ qua</t>
  </si>
  <si>
    <t xml:space="preserve">Bổ sung (rà soát mã nguồn: kiểm tra sự kiện trùng/xác thực)</t>
  </si>
  <si>
    <t xml:space="preserve">TC-TRIP-21</t>
  </si>
  <si>
    <t xml:space="preserve">Bình luận đánh giá chứa script không được lưu/trả về nguyên trạng</t>
  </si>
  <si>
    <t xml:space="preserve">Chuyến đã hoàn thành</t>
  </si>
  <si>
    <t xml:space="preserve">1. POST /trips/{id}/rating với comment="&lt;script&gt;alert('hack')&lt;/script&gt;" 2. GET /drivers/{driverId}/ratings, kiểm tra comment đã lưu</t>
  </si>
  <si>
    <t xml:space="preserve">{score:5, comment:"&lt;script&gt;alert('hack')&lt;/script&gt;"}</t>
  </si>
  <si>
    <t xml:space="preserve">Bước 1: 201. Bước 2: comment trả về KHÔNG còn chứa nguyên "&lt;script&gt;" chưa escape - chấp nhận cả hai cách phòng thủ: escape khi trả về, hoặc loại bỏ thẻ trước khi lưu</t>
  </si>
  <si>
    <t xml:space="preserve">Bảng chấm thực hành, mục 26</t>
  </si>
  <si>
    <t xml:space="preserve">FAIL (đã xác nhận bằng test thật ngày 01/10/2026, testcase/tests/trip/TC-TRIP-21.test.js): comment lưu và trả về nguyên thẻ &lt;script&gt;alert('hack')&lt;/script&gt; chưa escape/lọc - Trip Service chưa xử lý input này</t>
  </si>
  <si>
    <t xml:space="preserve">BA chưa quy định (yêu cầu riêng của bảng chấm thực hành, không thuộc phạm vi 25 FR/10 quy tắc của BA)</t>
  </si>
  <si>
    <t xml:space="preserve">TC-TRIP-22</t>
  </si>
  <si>
    <t xml:space="preserve">Lịch sử chuyến của khách có giới hạn (limit) và phân trang</t>
  </si>
  <si>
    <t xml:space="preserve">Khách đã có 5 chuyến</t>
  </si>
  <si>
    <t xml:space="preserve">1. GET /customers/me/trips?limit=3&amp;page=1 2. GET cùng khách với page=2</t>
  </si>
  <si>
    <t xml:space="preserve">5 chuyến, limit=3</t>
  </si>
  <si>
    <t xml:space="preserve">Trang 1 tối đa 3 chuyến, trang 2 không trùng chuyến với trang 1</t>
  </si>
  <si>
    <t xml:space="preserve">Bảng chấm thực hành, mục 14</t>
  </si>
  <si>
    <t xml:space="preserve">FAIL (đã xác nhận bằng test thật ngày 01/10/2026, testcase/tests/trip/TC-TRIP-22.test.js): endpoint trả về cả 5 chuyến (không phải tối đa 3) bất kể limit=3 - chưa hỗ trợ phân trang</t>
  </si>
  <si>
    <t xml:space="preserve">Dispatch Service</t>
  </si>
  <si>
    <t xml:space="preserve">TC-DISP-01</t>
  </si>
  <si>
    <t xml:space="preserve">FR-06, FR-07</t>
  </si>
  <si>
    <t xml:space="preserve">BR-2</t>
  </si>
  <si>
    <t xml:space="preserve">Tìm và đề xuất tài xế gần nhất</t>
  </si>
  <si>
    <t xml:space="preserve">≥2 tài xế available trong bán kính tìm kiếm, khoảng cách khác nhau</t>
  </si>
  <si>
    <t xml:space="preserve">1. Publish/nhận event TripRequested
2. Kiểm tra tài xế nào được offer trước</t>
  </si>
  <si>
    <t xml:space="preserve">driverA cách 0.1km, driverB cách 2km</t>
  </si>
  <si>
    <t xml:space="preserve">driverA (gần hơn) được đề xuất trước tiên</t>
  </si>
  <si>
    <t xml:space="preserve">TC-DISP-02</t>
  </si>
  <si>
    <t xml:space="preserve">FR-09</t>
  </si>
  <si>
    <t xml:space="preserve">Không có tài xế nào sẵn sàng</t>
  </si>
  <si>
    <t xml:space="preserve">Không có tài xế nào trong trạng thái available/trong bán kính</t>
  </si>
  <si>
    <t xml:space="preserve">Publish event TripRequested</t>
  </si>
  <si>
    <t xml:space="preserve">danh sách driver available rỗng hoặc quá xa</t>
  </si>
  <si>
    <t xml:space="preserve">Event NoDriverFound được publish, Trip Service cập nhật status='no_driver_found'</t>
  </si>
  <si>
    <t xml:space="preserve">TC-DISP-03</t>
  </si>
  <si>
    <t xml:space="preserve">FR-08</t>
  </si>
  <si>
    <t xml:space="preserve">BR-3</t>
  </si>
  <si>
    <t xml:space="preserve">Tài xế không phản hồi quá thời gian quy định</t>
  </si>
  <si>
    <t xml:space="preserve">Tài xế đang được offer (status='offered')</t>
  </si>
  <si>
    <t xml:space="preserve">Chờ quá DISPATCH_OFFER_TIMEOUT_SEC mà tài xế không accept/decline</t>
  </si>
  <si>
    <t xml:space="preserve">timeout mặc định (cấu hình qua env)</t>
  </si>
  <si>
    <t xml:space="preserve">Candidate tự động chuyển 'timeout', hệ thống offer cho ứng viên kế tiếp</t>
  </si>
  <si>
    <t xml:space="preserve">Đúng BA: BR-3 (Mục 7) - không phản hồi thì tự động chuyển tài xế kế tiếp. Riêng giá trị thời gian cụ thể (DISPATCH_OFFER_TIMEOUT_SEC) chưa được BA chốt (Mục 9), không phải một phần của kết quả kiểm tra ở đây</t>
  </si>
  <si>
    <t xml:space="preserve">TC-DISP-04</t>
  </si>
  <si>
    <t xml:space="preserve">Tài xế từ chối, hệ thống tự chuyển tài xế khác</t>
  </si>
  <si>
    <t xml:space="preserve">Tài xế A đang được offer, còn tài xế B trong danh sách</t>
  </si>
  <si>
    <t xml:space="preserve">POST /dispatch/{tripId}/decline bằng token tài xế A</t>
  </si>
  <si>
    <t xml:space="preserve">token driver A</t>
  </si>
  <si>
    <t xml:space="preserve">200 OK; tài xế B nhận được offer kế tiếp; KHÔNG cần khách hàng tạo lại yêu cầu</t>
  </si>
  <si>
    <t xml:space="preserve">TC-DISP-05</t>
  </si>
  <si>
    <t xml:space="preserve">FR-12</t>
  </si>
  <si>
    <t xml:space="preserve">Tài xế không phải ứng viên hiện tại cố nhận chuyến</t>
  </si>
  <si>
    <t xml:space="preserve">Chuyến đang được offer cho tài xế khác</t>
  </si>
  <si>
    <t xml:space="preserve">POST /dispatch/{tripId}/accept bằng token tài xế không liên quan</t>
  </si>
  <si>
    <t xml:space="preserve">token driver không phải candidate hiện tại</t>
  </si>
  <si>
    <t xml:space="preserve">409 Conflict, error.code = NOT_CURRENT_CANDIDATE</t>
  </si>
  <si>
    <t xml:space="preserve">TC-DISP-06</t>
  </si>
  <si>
    <t xml:space="preserve">Tài xế chấp nhận chuyến thành công</t>
  </si>
  <si>
    <t xml:space="preserve">Tài xế đang là candidate ở trạng thái 'offered'</t>
  </si>
  <si>
    <t xml:space="preserve">POST /dispatch/{tripId}/accept</t>
  </si>
  <si>
    <t xml:space="preserve">token driver đúng candidate hiện tại</t>
  </si>
  <si>
    <t xml:space="preserve">200 OK, trả về eta; event DriverAssigned publish; Trip chuyển 'driver_assigned'</t>
  </si>
  <si>
    <t xml:space="preserve">TC-DISP-07</t>
  </si>
  <si>
    <t xml:space="preserve">Khách hàng cố xem danh sách candidate (chỉ ops)</t>
  </si>
  <si>
    <t xml:space="preserve">GET /dispatch/{tripId}/candidates</t>
  </si>
  <si>
    <t xml:space="preserve">403 Forbidden (chỉ ops_staff/ops_admin)</t>
  </si>
  <si>
    <t xml:space="preserve">TC-DISP-08</t>
  </si>
  <si>
    <t xml:space="preserve">Tại mọi thời điểm chỉ có đúng một candidate đang được offer</t>
  </si>
  <si>
    <t xml:space="preserve">Có ít nhất 3 tài xế available ở các khoảng cách khác nhau (vùng 11.xx)</t>
  </si>
  <si>
    <t xml:space="preserve">1. Tạo chuyến 2. Đợi offer đầu tiên 3. ops_staff GET /dispatch/{tripId}/candidates</t>
  </si>
  <si>
    <t xml:space="preserve">3 tài xế cách 0.1 / 2 / 4 km</t>
  </si>
  <si>
    <t xml:space="preserve">200 OK; đúng 1 candidate ở trạng thái offered (gần nhất), các candidate còn lại waiting; sắp xếp từ gần đến xa</t>
  </si>
  <si>
    <t xml:space="preserve">TS-MAT-001</t>
  </si>
  <si>
    <t xml:space="preserve">TC-DISP-09</t>
  </si>
  <si>
    <t xml:space="preserve">FR-08, FR-09</t>
  </si>
  <si>
    <t xml:space="preserve">BR-3, BR-4</t>
  </si>
  <si>
    <t xml:space="preserve">Tất cả tài xế từ chối thì chuyển no_driver_found và khách được thông báo rõ ràng</t>
  </si>
  <si>
    <t xml:space="preserve">2 tài xế available (vùng 12.xx)</t>
  </si>
  <si>
    <t xml:space="preserve">1. Tạo chuyến 2. Tài xế A decline 3. Tài xế B decline (không còn ứng viên nào khác) 4. Kiểm tra trip và thông báo của khách</t>
  </si>
  <si>
    <t xml:space="preserve">2 tài xế, cùng vùng tọa độ</t>
  </si>
  <si>
    <t xml:space="preserve">Ngay khi hết ứng viên: trip.status = no_driver_found; khách nhận được thông báo rõ ràng là không tìm được tài xế; A và B không nhận lại offer</t>
  </si>
  <si>
    <t xml:space="preserve">TS-MAT-012</t>
  </si>
  <si>
    <t xml:space="preserve">TC-DISP-10</t>
  </si>
  <si>
    <t xml:space="preserve">Tài xế đã từ chối rồi tắt/bật lại sẵn sàng vẫn không được mời lại cho cùng chuyến đó</t>
  </si>
  <si>
    <t xml:space="preserve">2 tài xế available cùng vùng tọa độ (vùng riêng); timeout offer rút ngắn để kiểm thử nhanh</t>
  </si>
  <si>
    <t xml:space="preserve">1. Tạo chuyến 2. Tài xế A nhận offer, decline 3. Tài xế A tắt sẵn sàng (offline) rồi bật lại (available), vẫn trong bán kính 4. Polling pending của A đến khi B nhận offer hoặc chuyến kết thúc</t>
  </si>
  <si>
    <t xml:space="preserve">2 tài xế cùng vùng</t>
  </si>
  <si>
    <t xml:space="preserve">Tài xế A không nhận lại offer của chuyến này dù đã online lại; chỉ tài xế B được mời hoặc chuyến chuyển no_driver_found nếu hết ứng viên</t>
  </si>
  <si>
    <t xml:space="preserve">Bổ sung (rà soát mã nguồn)</t>
  </si>
  <si>
    <t xml:space="preserve">Cần xác nhận: chưa rõ trạng thái đã từ chối được lưu theo phiên sẵn sàng hay theo toàn bộ vòng đời chuyến; cần chạy để xác nhận</t>
  </si>
  <si>
    <t xml:space="preserve">TC-DISP-11</t>
  </si>
  <si>
    <t xml:space="preserve">FR-08, FR-12</t>
  </si>
  <si>
    <t xml:space="preserve">Tài xế accept sau khi offer đã hết hạn</t>
  </si>
  <si>
    <t xml:space="preserve">Timeout offer 3 giây; 2 tài xế available (vùng 14.xx)</t>
  </si>
  <si>
    <t xml:space="preserve">1. Tạo chuyến 2. Polling đến khi tài xế B nhận offer (tức offer của A đã hết hạn) 3. A gọi POST /dispatch/{tripId}/accept</t>
  </si>
  <si>
    <t xml:space="preserve">A gần hơn B</t>
  </si>
  <si>
    <t xml:space="preserve">Bước 3: 409 Conflict, error.code = NOT_CURRENT_CANDIDATE; trip không gán cho A</t>
  </si>
  <si>
    <t xml:space="preserve">TS-MAT-017</t>
  </si>
  <si>
    <t xml:space="preserve">TC-DISP-12</t>
  </si>
  <si>
    <t xml:space="preserve">FR-12, FR-24</t>
  </si>
  <si>
    <t xml:space="preserve">Khách hủy chuyến khi offer đang mở thì tài xế accept phải bị từ chối</t>
  </si>
  <si>
    <t xml:space="preserve">Chuyến finding_driver, 1 tài xế đang giữ offer</t>
  </si>
  <si>
    <t xml:space="preserve">1. Khách POST /trips/{id}/cancel kèm lý do 2. Tài xế POST /dispatch/{tripId}/accept</t>
  </si>
  <si>
    <t xml:space="preserve">1 tài xế</t>
  </si>
  <si>
    <t xml:space="preserve">Bước 2: 409 (hoặc 410) thông báo chuyến đã hủy; trip vẫn cancelled. Hiện tại dự kiến accept trả 200</t>
  </si>
  <si>
    <t xml:space="preserve">TS-MAT-018</t>
  </si>
  <si>
    <t xml:space="preserve">FAIL: Dispatch chưa xử lý việc chuyến bị hủy</t>
  </si>
  <si>
    <t xml:space="preserve">BA chưa quy định cơ chế kỹ thuật khi khách hủy lúc offer đang mở (chính sách hủy trước khi đón đã được xác nhận ở FR-24, câu hỏi 4); nhưng lời mời cho tài xế không còn ý nghĩa sau khi khách đã hủy</t>
  </si>
  <si>
    <t xml:space="preserve">TC-DISP-13</t>
  </si>
  <si>
    <t xml:space="preserve">Tài xế đã bị khóa không được mời chuyến</t>
  </si>
  <si>
    <t xml:space="preserve">Tài xế available gần điểm đón; ops_admin khóa tài xế</t>
  </si>
  <si>
    <t xml:space="preserve">1. PATCH /drivers/{id}/disable 2. Khách tạo chuyến ở gần 3. Kiểm tra pending của tài xế</t>
  </si>
  <si>
    <t xml:space="preserve">1 tài xế bị khóa</t>
  </si>
  <si>
    <t xml:space="preserve">Tài xế không nhận offer; trip chuyển no_driver_found. Hiện tại dự kiến vẫn được offer</t>
  </si>
  <si>
    <t xml:space="preserve">TS-MAT-003</t>
  </si>
  <si>
    <t xml:space="preserve">FAIL: danh sách available chưa kiểm active</t>
  </si>
  <si>
    <t xml:space="preserve">Lệch BA: FR-06 (tiêu chí vận hành khi xác định tài xế phù hợp) và FR-22 (khóa tài khoản phải có hiệu lực)</t>
  </si>
  <si>
    <t xml:space="preserve">TC-DISP-14</t>
  </si>
  <si>
    <t xml:space="preserve">Chỉ mời tài xế đúng loại xe khách chọn</t>
  </si>
  <si>
    <t xml:space="preserve">Tài xế xe 4 chỗ ở gần (500 m), tài xế xe 7 chỗ ở xa hơn (2.5 km); helper đăng ký tài xế cần nhận tham số loại xe</t>
  </si>
  <si>
    <t xml:space="preserve">1. Khách đặt xe 7 chỗ 2. Kiểm tra pending của cả hai tài xế</t>
  </si>
  <si>
    <t xml:space="preserve">vehicleType '7-seat'</t>
  </si>
  <si>
    <t xml:space="preserve">Chỉ tài xế xe 7 chỗ nhận offer; tài xế xe 4 chỗ không nhận. Hiện tại dự kiến tài xế 4 chỗ (gần hơn) nhận offer</t>
  </si>
  <si>
    <t xml:space="preserve">TS-MAT-002</t>
  </si>
  <si>
    <t xml:space="preserve">FAIL: Dispatch bỏ qua vehicleType khi chọn ứng viên</t>
  </si>
  <si>
    <t xml:space="preserve">Lệch BA: FR-03 (khách chọn loại xe) và FR-06 (xác định tài xế phù hợp phải theo đúng loại xe)</t>
  </si>
  <si>
    <t xml:space="preserve">TC-DISP-15</t>
  </si>
  <si>
    <t xml:space="preserve">FR-06, FR-12</t>
  </si>
  <si>
    <t xml:space="preserve">Một tài xế chỉ giữ một offer tại một thời điểm</t>
  </si>
  <si>
    <t xml:space="preserve">Chỉ có 1 tài xế available; 2 khách đặt xe gần như cùng lúc ở gần tài xế đó</t>
  </si>
  <si>
    <t xml:space="preserve">1. Hai khách tạo chuyến đồng thời 2. Kiểm tra pending của tài xế và trạng thái 2 chuyến</t>
  </si>
  <si>
    <t xml:space="preserve">2 chuyến, 1 tài xế</t>
  </si>
  <si>
    <t xml:space="preserve">Tài xế chỉ giữ offer của đúng 1 chuyến; chuyến còn lại không có offer nào đến tài xế đó và không được gán cho tài xế đó (không yêu cầu trạng thái cuối tức thời). Hiện tại dự kiến tài xế có offer ở cả hai chuyến</t>
  </si>
  <si>
    <t xml:space="preserve">TS-MAT-007</t>
  </si>
  <si>
    <t xml:space="preserve">FAIL: chưa khóa offer theo tài xế</t>
  </si>
  <si>
    <t xml:space="preserve">BA chưa quy định cụ thể (suy ra từ quy tắc: tài xế chỉ nhận yêu cầu khi sẵn sàng); lỗi nên sửa để tránh mời chồng chéo</t>
  </si>
  <si>
    <t xml:space="preserve">TC-DISP-16</t>
  </si>
  <si>
    <t xml:space="preserve">Hai yêu cầu accept đồng thời chỉ một thành công</t>
  </si>
  <si>
    <t xml:space="preserve">Tài xế đang giữ offer</t>
  </si>
  <si>
    <t xml:space="preserve">Với 20 chuyến độc lập: gửi 2 POST /dispatch/{tripId}/accept song song (cùng một tài xế, Promise.all)</t>
  </si>
  <si>
    <t xml:space="preserve">20 chuyến, mỗi chuyến 2 request</t>
  </si>
  <si>
    <t xml:space="preserve">Mỗi chuyến: chỉ gán đúng một lần và DriverAssigned chỉ publish đúng một lần; phản hồi thứ hai có thể là 200 (idempotent) hoặc 409; trip chỉ có 1 driverId</t>
  </si>
  <si>
    <t xml:space="preserve">TS-MAT-025</t>
  </si>
  <si>
    <t xml:space="preserve">Cần xác nhận: accept là đọc rồi ghi, không nguyên tử; có thể FAIL không ổn định</t>
  </si>
  <si>
    <t xml:space="preserve">TC-DISP-17</t>
  </si>
  <si>
    <t xml:space="preserve">NFR-3</t>
  </si>
  <si>
    <t xml:space="preserve">Khởi động lại Dispatch không làm mất hẹn giờ của offer</t>
  </si>
  <si>
    <t xml:space="preserve">Offer đang mở với timeout 3 giây; 2 tài xế available</t>
  </si>
  <si>
    <t xml:space="preserve">1. Tạo chuyến 2. docker restart dispatch-service ngay khi offer được tạo 3. Đợi quá timeout</t>
  </si>
  <si>
    <t xml:space="preserve">chạy bằng script CI (docker), không phải Jest thuần</t>
  </si>
  <si>
    <t xml:space="preserve">Sau khi khởi động lại, offer quá hạn vẫn được xử lý và tài xế kế tiếp nhận offer trong vòng timeout + 5 giây. Hiện tại dự kiến offer bị treo</t>
  </si>
  <si>
    <t xml:space="preserve">Phục hồi</t>
  </si>
  <si>
    <t xml:space="preserve">TS-SCH-001</t>
  </si>
  <si>
    <t xml:space="preserve">FAIL: hẹn giờ là setTimeout trong bộ nhớ, cần dựng lại từ offeredAt khi khởi động</t>
  </si>
  <si>
    <t xml:space="preserve">BA chưa quy định (không có yêu cầu về khả năng phục hồi khi khởi động lại); rủi ro vận hành nên sửa</t>
  </si>
  <si>
    <t xml:space="preserve">TC-DISP-18</t>
  </si>
  <si>
    <t xml:space="preserve">NFR-1</t>
  </si>
  <si>
    <t xml:space="preserve">Payment Service hoặc Notification Service ngừng hoạt động không làm gián đoạn luồng đặt xe và ghép chuyến</t>
  </si>
  <si>
    <t xml:space="preserve">Cụm dịch vụ đang chạy bình thường; có tài xế available</t>
  </si>
  <si>
    <t xml:space="preserve">Lặp lại 2 lần, mỗi lần dừng một service: 1. Dừng service (docker stop payment-service, rồi lặp lại với notification-service) 2. Khách tạo chuyến 3. Tài xế nhận offer và accept 4. Cập nhật các trạng thái đến completed 5. Khởi động lại service vừa dừng</t>
  </si>
  <si>
    <t xml:space="preserve">Cả hai lần: luồng đặt xe, ghép chuyến, hoàn thành chuyến vẫn hoạt động bình thường dù Payment hoặc Notification không chạy (riêng bước thanh toán tạm thời không thực hiện được khi Payment dừng, nhưng Trip/Dispatch không bị chặn theo).</t>
  </si>
  <si>
    <t xml:space="preserve">Bổ sung (NFR Tính sẵn sàng/Ổn định - Mục 6, và Mục 8: lỗi thanh toán hoặc thông báo không được làm hệ thống đặt xe ngừng hoạt động)</t>
  </si>
  <si>
    <t xml:space="preserve">Cần xác nhận: kiến trúc dùng event bus (choreography) nên Trip/Dispatch có thể không gọi Payment/Notification đồng bộ; nếu đúng vậy, ca này PASS, nhưng cần chạy thực tế để xác nhận không có lời gọi đồng bộ nào bị bỏ sót</t>
  </si>
  <si>
    <t xml:space="preserve">TC-DISP-19</t>
  </si>
  <si>
    <t xml:space="preserve">Endpoint nhận sự kiện của Dispatch không gọi được từ bên ngoài</t>
  </si>
  <si>
    <t xml:space="preserve">Có 1 tài xế available</t>
  </si>
  <si>
    <t xml:space="preserve">1. POST /dispatch/events/trip-requested qua gateway, không xác thực dịch vụ, payload một chuyến giả gần tài xế 2. Polling pending của tài xế</t>
  </si>
  <si>
    <t xml:space="preserve">chuyến giả, không có trong Trip Service</t>
  </si>
  <si>
    <t xml:space="preserve">Bước 1: 401 hoặc 403. Bước 2: tài xế không nhận offer của chuyến giả. Hiện tại dự kiến 202 và tài xế nhận offer cho chuyến không tồn tại</t>
  </si>
  <si>
    <t xml:space="preserve">Bổ sung (đối ứng TC-DISP-20)</t>
  </si>
  <si>
    <t xml:space="preserve">FAIL: webhook mở qua gateway</t>
  </si>
  <si>
    <t xml:space="preserve">TC-DISP-20</t>
  </si>
  <si>
    <t xml:space="preserve">Sự kiện TripRequested gửi trùng không tạo phiên điều phối thứ hai</t>
  </si>
  <si>
    <t xml:space="preserve">Chuyến vừa tạo, offer đã gửi cho tài xế A. Dùng webhook nội bộ như hiện tại; khi endpoint được bảo vệ (TC-DISP-19) đổi sang token dịch vụ.</t>
  </si>
  <si>
    <t xml:space="preserve">1. Gửi lại POST /dispatch/events/trip-requested với cùng payload 2. Kiểm tra candidates và pending của A</t>
  </si>
  <si>
    <t xml:space="preserve">payload TripRequested của chính chuyến đó</t>
  </si>
  <si>
    <t xml:space="preserve">Webhook trả 202; vẫn chỉ có 1 phiên điều phối; A vẫn giữ đúng 1 offer; danh sách candidates không bị đặt lại</t>
  </si>
  <si>
    <t xml:space="preserve">Location Service</t>
  </si>
  <si>
    <t xml:space="preserve">TC-LOC-01</t>
  </si>
  <si>
    <t xml:space="preserve">FR-10</t>
  </si>
  <si>
    <t xml:space="preserve">Tài xế gửi vị trí hợp lệ</t>
  </si>
  <si>
    <t xml:space="preserve">POST /locations {lat, lng}</t>
  </si>
  <si>
    <t xml:space="preserve">{lat:10.7769, lng:106.7009}</t>
  </si>
  <si>
    <t xml:space="preserve">200 OK, vị trí được upsert theo driverId (ghi đè vị trí cũ nếu có)</t>
  </si>
  <si>
    <t xml:space="preserve">TC-LOC-02</t>
  </si>
  <si>
    <t xml:space="preserve">Gửi vị trí với dữ liệu sai kiểu</t>
  </si>
  <si>
    <t xml:space="preserve">POST /locations {lat:'không phải số', lng:106.7}</t>
  </si>
  <si>
    <t xml:space="preserve">lat là chuỗi thay vì số</t>
  </si>
  <si>
    <t xml:space="preserve">TC-LOC-03</t>
  </si>
  <si>
    <t xml:space="preserve">Tra cứu vị trí tài xế chưa từng gửi vị trí</t>
  </si>
  <si>
    <t xml:space="preserve">Tài xế tồn tại nhưng chưa gọi POST /locations lần nào</t>
  </si>
  <si>
    <t xml:space="preserve">GET /locations/drivers/{id}</t>
  </si>
  <si>
    <t xml:space="preserve">driverId hợp lệ, chưa có bản ghi vị trí</t>
  </si>
  <si>
    <t xml:space="preserve">404 Not Found, error.code = LOCATION_NOT_FOUND</t>
  </si>
  <si>
    <t xml:space="preserve">TC-LOC-04</t>
  </si>
  <si>
    <t xml:space="preserve">Lọc tài xế theo bán kính tìm kiếm</t>
  </si>
  <si>
    <t xml:space="preserve">Có tài xế trong và ngoài bán kính chỉ định. Dùng endpoint không xác thực như hiện tại; khi endpoint được bảo vệ (TC-LOC-20) đổi sang kèm token dịch vụ.</t>
  </si>
  <si>
    <t xml:space="preserve">GET /locations/nearby-drivers?radiusKm=1</t>
  </si>
  <si>
    <t xml:space="preserve">1 tài xế cách 0.5km, 1 tài xế cách 5km</t>
  </si>
  <si>
    <t xml:space="preserve">Chỉ trả về tài xế trong bán kính 1km, tài xế ở xa bị loại</t>
  </si>
  <si>
    <t xml:space="preserve">TC-LOC-05</t>
  </si>
  <si>
    <t xml:space="preserve">FR-07</t>
  </si>
  <si>
    <t xml:space="preserve">Kết quả sắp xếp theo khoảng cách tăng dần</t>
  </si>
  <si>
    <t xml:space="preserve">≥2 tài xế trong bán kính, khoảng cách khác nhau. Dùng endpoint không xác thực như hiện tại; khi endpoint được bảo vệ (TC-LOC-20) đổi sang kèm token dịch vụ.</t>
  </si>
  <si>
    <t xml:space="preserve">GET /locations/nearby-drivers</t>
  </si>
  <si>
    <t xml:space="preserve">nhiều driverIds</t>
  </si>
  <si>
    <t xml:space="preserve">Mảng trả về distanceKm tăng dần từ gần đến xa</t>
  </si>
  <si>
    <t xml:space="preserve">TC-LOC-06</t>
  </si>
  <si>
    <t xml:space="preserve">Gửi vị trí thiếu lat hoặc lng</t>
  </si>
  <si>
    <t xml:space="preserve">1. POST /locations chỉ có lat 2. POST /locations chỉ có lng</t>
  </si>
  <si>
    <t xml:space="preserve">{lat:10.77} và {lng:106.70}</t>
  </si>
  <si>
    <t xml:space="preserve">Cả hai ca: 400 Bad Request, error.code = INVALID_INPUT</t>
  </si>
  <si>
    <t xml:space="preserve">Bổ sung (mở rộng TC-LOC-02)</t>
  </si>
  <si>
    <t xml:space="preserve">TC-LOC-07</t>
  </si>
  <si>
    <t xml:space="preserve">Vĩ độ nằm ngoài khoảng từ -90 đến 90</t>
  </si>
  <si>
    <t xml:space="preserve">1. POST /locations với lat = 91 2. POST /locations với lat = -90.5</t>
  </si>
  <si>
    <t xml:space="preserve">{lat:91, lng:106.7} và {lat:-90.5, lng:106.7}</t>
  </si>
  <si>
    <t xml:space="preserve">Cả hai ca: 400 Bad Request, error.code = INVALID_INPUT. Hiện tại dự kiến 200</t>
  </si>
  <si>
    <t xml:space="preserve">FAIL: chỉ kiểm tra kiểu số, chưa kiểm tra khoảng giá trị</t>
  </si>
  <si>
    <t xml:space="preserve">Lệch BA: NFR-4b (đề xuất bổ sung ở bản 1.1, chờ khách hàng xác nhận (Mục 9) - kiểm tra dữ liệu đầu vào)</t>
  </si>
  <si>
    <t xml:space="preserve">TC-LOC-08</t>
  </si>
  <si>
    <t xml:space="preserve">Kinh độ nằm ngoài khoảng từ -180 đến 180</t>
  </si>
  <si>
    <t xml:space="preserve">1. POST /locations với lng = 181 2. POST /locations với lng = -180.5</t>
  </si>
  <si>
    <t xml:space="preserve">{lat:10.7, lng:181} và {lat:10.7, lng:-180.5}</t>
  </si>
  <si>
    <t xml:space="preserve">TC-LOC-09</t>
  </si>
  <si>
    <t xml:space="preserve">Tọa độ đúng biên hợp lệ được chấp nhận</t>
  </si>
  <si>
    <t xml:space="preserve">1. POST /locations với (90, 180) 2. POST /locations với (-90, -180)</t>
  </si>
  <si>
    <t xml:space="preserve">4 giá trị biên</t>
  </si>
  <si>
    <t xml:space="preserve">Cả hai ca: 200 OK; bản ghi lưu đúng giá trị</t>
  </si>
  <si>
    <t xml:space="preserve">TC-LOC-10</t>
  </si>
  <si>
    <t xml:space="preserve">Gửi vị trí nhiều lần chỉ giữ 1 bản ghi mới nhất cho mỗi tài xế</t>
  </si>
  <si>
    <t xml:space="preserve">Tài xế đã đăng nhập. Dùng endpoint không xác thực như hiện tại; khi endpoint được bảo vệ (TC-LOC-20) đổi sang kèm token dịch vụ.</t>
  </si>
  <si>
    <t xml:space="preserve">1. POST vị trí P1 2. POST vị trí P2 3. GET /locations/drivers/{id} 4. GET /locations/nearby-drivers với driverIds là tài xế đó</t>
  </si>
  <si>
    <t xml:space="preserve">P1 (10.771, 106.70), P2 (10.775, 106.70)</t>
  </si>
  <si>
    <t xml:space="preserve">Bước 3: trả về P2, updatedAt lớn hơn lần gửi đầu. Bước 4: tài xế xuất hiện đúng 1 lần</t>
  </si>
  <si>
    <t xml:space="preserve">TC-LOC-11</t>
  </si>
  <si>
    <t xml:space="preserve">Gửi vị trí không có token</t>
  </si>
  <si>
    <t xml:space="preserve">POST /locations không kèm Authorization</t>
  </si>
  <si>
    <t xml:space="preserve">body hợp lệ</t>
  </si>
  <si>
    <t xml:space="preserve">Bổ sung (đối ứng kiểm tra xác thực người dùng)</t>
  </si>
  <si>
    <t xml:space="preserve">TC-LOC-12</t>
  </si>
  <si>
    <t xml:space="preserve">Khách hàng không được gửi vị trí của tài xế</t>
  </si>
  <si>
    <t xml:space="preserve">POST /locations bằng token customer</t>
  </si>
  <si>
    <t xml:space="preserve">{lat:10.77, lng:106.70}</t>
  </si>
  <si>
    <t xml:space="preserve">Cần xác nhận (chốt được bằng cách đọc file route, không cần chạy thử): phụ thuộc cấu hình phân quyền của route POST /locations</t>
  </si>
  <si>
    <t xml:space="preserve">TC-LOC-13</t>
  </si>
  <si>
    <t xml:space="preserve">Lọc kết quả theo danh sách driverIds</t>
  </si>
  <si>
    <t xml:space="preserve">3 tài xế cùng ở gần điểm tìm. Dùng endpoint không xác thực như hiện tại; khi endpoint được bảo vệ (TC-LOC-20) đổi sang kèm token dịch vụ.</t>
  </si>
  <si>
    <t xml:space="preserve">GET /locations/nearby-drivers với driverIds chỉ gồm id của 2 tài xế</t>
  </si>
  <si>
    <t xml:space="preserve">3 tài xế, truyền 2 id</t>
  </si>
  <si>
    <t xml:space="preserve">Chỉ trả về 2 tài xế được liệt kê; tài xế còn lại không xuất hiện dù ở gần</t>
  </si>
  <si>
    <t xml:space="preserve">TC-LOC-14</t>
  </si>
  <si>
    <t xml:space="preserve">Không có tài xế trong bán kính thì trả mảng rỗng</t>
  </si>
  <si>
    <t xml:space="preserve">Không có tài xế nào gần điểm tìm. Dùng endpoint không xác thực như hiện tại; khi endpoint được bảo vệ (TC-LOC-20) đổi sang kèm token dịch vụ.</t>
  </si>
  <si>
    <t xml:space="preserve">GET /locations/nearby-drivers tại tọa độ không có tài xế</t>
  </si>
  <si>
    <t xml:space="preserve">lat -50, lng -100</t>
  </si>
  <si>
    <t xml:space="preserve">200 OK, data là mảng rỗng (không phải lỗi)</t>
  </si>
  <si>
    <t xml:space="preserve">TC-LOC-15</t>
  </si>
  <si>
    <t xml:space="preserve">Khoảng cách trả về đúng công thức Haversine</t>
  </si>
  <si>
    <t xml:space="preserve">Tài xế cách điểm tìm 0.001 độ vĩ. Dùng endpoint không xác thực như hiện tại; khi endpoint được bảo vệ (TC-LOC-20) đổi sang kèm token dịch vụ.</t>
  </si>
  <si>
    <t xml:space="preserve">tài xế (10.771, 106.7), điểm tìm (10.770, 106.7)</t>
  </si>
  <si>
    <t xml:space="preserve">distanceKm xấp xỉ 0.111 (sai số 0.001)</t>
  </si>
  <si>
    <t xml:space="preserve">TC-LOC-16</t>
  </si>
  <si>
    <t xml:space="preserve">Bán kính mặc định 5 km khi không truyền radiusKm</t>
  </si>
  <si>
    <t xml:space="preserve">Có tài xế cách khoảng 4 km và tài xế cách khoảng 6 km. Dùng endpoint không xác thực như hiện tại; khi endpoint được bảo vệ (TC-LOC-20) đổi sang kèm token dịch vụ.</t>
  </si>
  <si>
    <t xml:space="preserve">GET /locations/nearby-drivers không có radiusKm</t>
  </si>
  <si>
    <t xml:space="preserve">chênh vĩ độ 0.036 và 0.054</t>
  </si>
  <si>
    <t xml:space="preserve">Chỉ tài xế cách 4 km được trả về</t>
  </si>
  <si>
    <t xml:space="preserve">TC-LOC-17</t>
  </si>
  <si>
    <t xml:space="preserve">Biên bán kính: chỉ trả tài xế có khoảng cách nhỏ hơn hoặc bằng radiusKm</t>
  </si>
  <si>
    <t xml:space="preserve">Tài xế cách điểm tìm khoảng 0.111 km. Dùng endpoint không xác thực như hiện tại; khi endpoint được bảo vệ (TC-LOC-20) đổi sang kèm token dịch vụ.</t>
  </si>
  <si>
    <t xml:space="preserve">1. GET nearby-drivers với radiusKm=0.12 2. GET nearby-drivers với radiusKm=0.10</t>
  </si>
  <si>
    <t xml:space="preserve">cùng một tài xế</t>
  </si>
  <si>
    <t xml:space="preserve">Bước 1: có tài xế. Bước 2: mảng rỗng</t>
  </si>
  <si>
    <t xml:space="preserve">TC-LOC-18</t>
  </si>
  <si>
    <t xml:space="preserve">Tham số lat hoặc lng thiếu hay không phải số</t>
  </si>
  <si>
    <t xml:space="preserve">Không có. Dùng endpoint không xác thực như hiện tại; khi endpoint được bảo vệ (TC-LOC-20) đổi sang kèm token dịch vụ.</t>
  </si>
  <si>
    <t xml:space="preserve">1. GET nearby-drivers thiếu lat và lng 2. GET nearby-drivers với lat=abc</t>
  </si>
  <si>
    <t xml:space="preserve">không có lat/lng và lat=abc</t>
  </si>
  <si>
    <t xml:space="preserve">Cả hai ca: 400 Bad Request, error.code = INVALID_INPUT. Hiện tại dự kiến 200 với mảng rỗng</t>
  </si>
  <si>
    <t xml:space="preserve">FAIL: chưa kiểm tra tham số truy vấn, giá trị NaN cho ra mảng rỗng</t>
  </si>
  <si>
    <t xml:space="preserve">TC-LOC-19</t>
  </si>
  <si>
    <t xml:space="preserve">10 tài xế gửi vị trí đồng thời không ghi đè lẫn nhau</t>
  </si>
  <si>
    <t xml:space="preserve">10 tài xế đã đăng nhập</t>
  </si>
  <si>
    <t xml:space="preserve">1. Gửi POST /locations song song từ 10 tài xế, mỗi người một tọa độ riêng 2. GET /locations/drivers/{id} của từng người</t>
  </si>
  <si>
    <t xml:space="preserve">10 tọa độ khác nhau</t>
  </si>
  <si>
    <t xml:space="preserve">Mỗi tài xế đọc lại đúng tọa độ của chính mình</t>
  </si>
  <si>
    <t xml:space="preserve">TC-LOC-20</t>
  </si>
  <si>
    <t xml:space="preserve">Không lộ vị trí tài xế cho người gọi không xác thực</t>
  </si>
  <si>
    <t xml:space="preserve">Có tài xế đang gửi vị trí</t>
  </si>
  <si>
    <t xml:space="preserve">1. GET /locations/nearby-drivers qua gateway, không token, tọa độ bao quanh tài xế 2. Gọi lại bằng token customer</t>
  </si>
  <si>
    <t xml:space="preserve">Bước 1: 401 hoặc 403. Bước 2: 403 (endpoint chỉ dành cho service khác). Hiện tại dự kiến 200 kèm driverId, vị trí và khoảng cách</t>
  </si>
  <si>
    <t xml:space="preserve">Lệch BA: NFR-4b (đề xuất bổ sung ở bản 1.1, chờ khách hàng xác nhận (Mục 9) - xác thực giữa các thành phần, bảo vệ vị trí tài xế)</t>
  </si>
  <si>
    <t xml:space="preserve">TC-LOC-21</t>
  </si>
  <si>
    <t xml:space="preserve">Danh sách tài xế quanh bán kính có giới hạn (limit) và phân trang</t>
  </si>
  <si>
    <t xml:space="preserve">5 tài xế đã gửi vị trí, đều trong bán kính 1km quanh 1 điểm</t>
  </si>
  <si>
    <t xml:space="preserve">1. GET /locations/nearby-drivers?radiusKm=1&amp;limit=3&amp;page=1 2. GET cùng điều kiện với page=2</t>
  </si>
  <si>
    <t xml:space="preserve">5 tài xế, limit=3</t>
  </si>
  <si>
    <t xml:space="preserve">Trang 1 tối đa 3 tài xế, trang 2 không trùng tài xế với trang 1</t>
  </si>
  <si>
    <t xml:space="preserve">Bảng chấm thực hành, mục 13</t>
  </si>
  <si>
    <t xml:space="preserve">FAIL (đã xác nhận bằng test thật ngày 01/10/2026, testcase/tests/location/TC-LOC-21.test.js): endpoint trả về 6 tài xế (không phải tối đa 3) bất kể limit=3 - chưa hỗ trợ phân trang. Số 6 thay vì 5 tự tạo trong test gợi ý còn 1 tài xế từ lần chạy trước (đúng như lưu ý 'data.json không tự reset' trong helpers.js)</t>
  </si>
  <si>
    <t xml:space="preserve">Pricing Service</t>
  </si>
  <si>
    <t xml:space="preserve">TC-PRICE-01</t>
  </si>
  <si>
    <t xml:space="preserve">FR-14</t>
  </si>
  <si>
    <t xml:space="preserve">Tính cước đúng công thức cho loại xe hợp lệ</t>
  </si>
  <si>
    <t xml:space="preserve">vehicleType tồn tại trong pricingRules.json</t>
  </si>
  <si>
    <t xml:space="preserve">POST /pricing/calculate {vehicleType:'4-seat', distanceKm:5, durationMin:15}</t>
  </si>
  <si>
    <t xml:space="preserve">baseFare=15000, perKmRate=9500, perMinuteRate=500</t>
  </si>
  <si>
    <t xml:space="preserve">amount = 15000 + 5*9500 + 15*500 = 62000 (đúng công thức)</t>
  </si>
  <si>
    <t xml:space="preserve">BA chưa quy định công thức cước cụ thể (Mục 9)</t>
  </si>
  <si>
    <t xml:space="preserve">TC-PRICE-02</t>
  </si>
  <si>
    <t xml:space="preserve">Loại xe không tồn tại</t>
  </si>
  <si>
    <t xml:space="preserve">POST /pricing/calculate {vehicleType:'helicopter'}</t>
  </si>
  <si>
    <t xml:space="preserve">vehicleType không có trong pricingRules.json</t>
  </si>
  <si>
    <t xml:space="preserve">400 Bad Request, error.code = UNKNOWN_VEHICLE_TYPE</t>
  </si>
  <si>
    <t xml:space="preserve">TC-PRICE-03</t>
  </si>
  <si>
    <t xml:space="preserve">Dữ liệu quãng đường/thời gian không hợp lệ</t>
  </si>
  <si>
    <t xml:space="preserve">POST /pricing/calculate {distanceKm:'xa lắm'}</t>
  </si>
  <si>
    <t xml:space="preserve">distanceKm là chuỗi</t>
  </si>
  <si>
    <t xml:space="preserve">TC-PRICE-04</t>
  </si>
  <si>
    <t xml:space="preserve">Xem cấu hình giá khi không đủ quyền</t>
  </si>
  <si>
    <t xml:space="preserve">Có token role=customer hoặc ops_staff (không phải ops_admin)</t>
  </si>
  <si>
    <t xml:space="preserve">GET /pricing/rules</t>
  </si>
  <si>
    <t xml:space="preserve">token không phải ops_admin</t>
  </si>
  <si>
    <t xml:space="preserve">TC-PRICE-05</t>
  </si>
  <si>
    <t xml:space="preserve">Cước xe 4 chỗ với quãng đường lẻ</t>
  </si>
  <si>
    <t xml:space="preserve">Bảng giá mặc định</t>
  </si>
  <si>
    <t xml:space="preserve">POST /pricing/calculate</t>
  </si>
  <si>
    <t xml:space="preserve">{vehicleType:'4-seat', distanceKm:5.2, durationMin:14}; baseFare 15000, 9500/km, 500/phút</t>
  </si>
  <si>
    <t xml:space="preserve">200 OK; amount = 15000 + 5.2*9500 + 14*500 = 71400; currency = VND; breakdown khớp bảng giá</t>
  </si>
  <si>
    <t xml:space="preserve">TS-PRC-001 (đổi số liệu)</t>
  </si>
  <si>
    <t xml:space="preserve">TC-PRICE-06</t>
  </si>
  <si>
    <t xml:space="preserve">Không có cước tối thiểu cho quãng đường rất ngắn</t>
  </si>
  <si>
    <t xml:space="preserve">Bảng giá mặc định, không cấu hình cước tối thiểu</t>
  </si>
  <si>
    <t xml:space="preserve">POST /pricing/calculate với quãng đường ngắn</t>
  </si>
  <si>
    <t xml:space="preserve">{vehicleType:'4-seat', distanceKm:0.3, durationMin:2}; theo công thức là 18850</t>
  </si>
  <si>
    <t xml:space="preserve">amount tính đúng theo công thức mở cửa + km + phút, không có mức sàn (18.850 với dữ liệu mẫu)</t>
  </si>
  <si>
    <t xml:space="preserve">BA chưa quy định cước tối thiểu (Mục 9: công thức tính cước chưa chốt)</t>
  </si>
  <si>
    <t xml:space="preserve">TC-PRICE-07</t>
  </si>
  <si>
    <t xml:space="preserve">Quãng đường hoặc thời gian âm</t>
  </si>
  <si>
    <t xml:space="preserve">1. POST /pricing/calculate với distanceKm âm 2. POST /pricing/calculate với durationMin âm</t>
  </si>
  <si>
    <t xml:space="preserve">{distanceKm:-5, durationMin:10} và {distanceKm:5, durationMin:-10}</t>
  </si>
  <si>
    <t xml:space="preserve">Cả hai ca: 400 Bad Request, error.code = INVALID_INPUT. Hiện tại dự kiến 200 với cước sai</t>
  </si>
  <si>
    <t xml:space="preserve">FAIL: chỉ kiểm tra kiểu số, chưa chặn giá trị âm</t>
  </si>
  <si>
    <t xml:space="preserve">TC-PRICE-08</t>
  </si>
  <si>
    <t xml:space="preserve">Cước xe máy</t>
  </si>
  <si>
    <t xml:space="preserve">{vehicleType:'motorbike', distanceKm:3, durationMin:10}; 10000, 4000/km, 300/phút</t>
  </si>
  <si>
    <t xml:space="preserve">amount = 10000 + 3*4000 + 10*300 = 25000</t>
  </si>
  <si>
    <t xml:space="preserve">TC-PRICE-09</t>
  </si>
  <si>
    <t xml:space="preserve">Cước xe 7 chỗ</t>
  </si>
  <si>
    <t xml:space="preserve">{vehicleType:'7-seat', distanceKm:10, durationMin:20}; 20000, 12500/km, 650/phút</t>
  </si>
  <si>
    <t xml:space="preserve">amount = 20000 + 10*12500 + 20*650 = 158000</t>
  </si>
  <si>
    <t xml:space="preserve">TC-PRICE-10</t>
  </si>
  <si>
    <t xml:space="preserve">Làm tròn cước về số nguyên đồng</t>
  </si>
  <si>
    <t xml:space="preserve">{vehicleType:'4-seat', distanceKm:1.2345, durationMin:0}; theo công thức là 26727.75</t>
  </si>
  <si>
    <t xml:space="preserve">amount = 26728 và là số nguyên</t>
  </si>
  <si>
    <t xml:space="preserve">BA chưa quy định cách làm tròn cước (Mục 9)</t>
  </si>
  <si>
    <t xml:space="preserve">TC-PRICE-11</t>
  </si>
  <si>
    <t xml:space="preserve">Quãng đường và thời gian bằng 0 chỉ tính cước mở cửa</t>
  </si>
  <si>
    <t xml:space="preserve">POST /pricing/calculate lần lượt cho 3 loại xe</t>
  </si>
  <si>
    <t xml:space="preserve">distanceKm:0, durationMin:0; motorbike, 4-seat, 7-seat</t>
  </si>
  <si>
    <t xml:space="preserve">amount lần lượt 10000, 15000, 20000</t>
  </si>
  <si>
    <t xml:space="preserve">TC-PRICE-12</t>
  </si>
  <si>
    <t xml:space="preserve">Thiếu vehicleType</t>
  </si>
  <si>
    <t xml:space="preserve">POST /pricing/calculate không có vehicleType</t>
  </si>
  <si>
    <t xml:space="preserve">{distanceKm:5, durationMin:15}</t>
  </si>
  <si>
    <t xml:space="preserve">TC-PRICE-13</t>
  </si>
  <si>
    <t xml:space="preserve">vehicleType sai chữ hoa và chữ thường</t>
  </si>
  <si>
    <t xml:space="preserve">POST /pricing/calculate với '4-SEAT'</t>
  </si>
  <si>
    <t xml:space="preserve">{vehicleType:'4-SEAT', distanceKm:5, durationMin:15}</t>
  </si>
  <si>
    <t xml:space="preserve">TC-PRICE-14</t>
  </si>
  <si>
    <t xml:space="preserve">Thiếu hoặc null distanceKm, durationMin</t>
  </si>
  <si>
    <t xml:space="preserve">1. POST /pricing/calculate thiếu durationMin 2. POST /pricing/calculate với distanceKm = null</t>
  </si>
  <si>
    <t xml:space="preserve">{vehicleType:'4-seat', distanceKm:5} và {vehicleType:'4-seat', distanceKm:null, durationMin:15}</t>
  </si>
  <si>
    <t xml:space="preserve">TC-PRICE-15</t>
  </si>
  <si>
    <t xml:space="preserve">Trường thừa trong body bị bỏ qua</t>
  </si>
  <si>
    <t xml:space="preserve">POST /pricing/calculate kèm các trường không thuộc hợp đồng</t>
  </si>
  <si>
    <t xml:space="preserve">{vehicleType:'4-seat', distanceKm:5, durationMin:15, discount:0.5, amount:1}</t>
  </si>
  <si>
    <t xml:space="preserve">amount = 70000, không bị ảnh hưởng bởi trường thừa</t>
  </si>
  <si>
    <t xml:space="preserve">TC-PRICE-16</t>
  </si>
  <si>
    <t xml:space="preserve">Quãng đường vượt giới hạn tối đa bị từ chối</t>
  </si>
  <si>
    <t xml:space="preserve">POST /pricing/calculate với distanceKm rất lớn</t>
  </si>
  <si>
    <t xml:space="preserve">{vehicleType:'4-seat', distanceKm:1e9, durationMin:15} và distanceKm:1e308</t>
  </si>
  <si>
    <t xml:space="preserve">400 Bad Request, error.code = INVALID_INPUT; không trả amount vô nghĩa (null hoặc Infinity). Hiện tại dự kiến 200 với amount rất lớn hoặc null</t>
  </si>
  <si>
    <t xml:space="preserve">FAIL: không có giới hạn trên cho quãng đường</t>
  </si>
  <si>
    <t xml:space="preserve">BA chưa quy định giới hạn quãng đường cụ thể; nhưng theo NFR-4b (đề xuất bổ sung ở bản 1.1, chờ khách hàng xác nhận (Mục 9)) cần kiểm tra dữ liệu đầu vào hợp lý</t>
  </si>
  <si>
    <t xml:space="preserve">TC-PRICE-17</t>
  </si>
  <si>
    <t xml:space="preserve">Breakdown trả về khớp cấu hình giá</t>
  </si>
  <si>
    <t xml:space="preserve">Có token ops_admin</t>
  </si>
  <si>
    <t xml:space="preserve">1. GET /pricing/rules bằng ops_admin 2. POST /pricing/calculate cho xe 4 chỗ 3. So sánh breakdown với rule</t>
  </si>
  <si>
    <t xml:space="preserve">{vehicleType:'4-seat', distanceKm:1, durationMin:1}</t>
  </si>
  <si>
    <t xml:space="preserve">breakdown.baseFare, perKm, perMinute bằng đúng rule của xe 4 chỗ</t>
  </si>
  <si>
    <t xml:space="preserve">TC-PRICE-18</t>
  </si>
  <si>
    <t xml:space="preserve">ops_admin xem đủ cấu hình giá</t>
  </si>
  <si>
    <t xml:space="preserve">200 OK; đúng 3 rule (motorbike, 4-seat, 7-seat), mỗi rule có baseFare, perKmRate, perMinuteRate</t>
  </si>
  <si>
    <t xml:space="preserve">TC-PRICE-19</t>
  </si>
  <si>
    <t xml:space="preserve">Xem cấu hình giá không có token</t>
  </si>
  <si>
    <t xml:space="preserve">GET /pricing/rules không kèm Authorization</t>
  </si>
  <si>
    <t xml:space="preserve">không có token</t>
  </si>
  <si>
    <t xml:space="preserve">Bổ sung (đối ứng TC-PRICE-04)</t>
  </si>
  <si>
    <t xml:space="preserve">TC-PRICE-20</t>
  </si>
  <si>
    <t xml:space="preserve">Số dạng chuỗi bị từ chối</t>
  </si>
  <si>
    <t xml:space="preserve">POST /pricing/calculate với số truyền dưới dạng chuỗi</t>
  </si>
  <si>
    <t xml:space="preserve">{vehicleType:'4-seat', distanceKm:'5', durationMin:'15'}</t>
  </si>
  <si>
    <t xml:space="preserve">Bổ sung (mở rộng TC-PRICE-03)</t>
  </si>
  <si>
    <t xml:space="preserve">Payment Service</t>
  </si>
  <si>
    <t xml:space="preserve">TC-PAY-01</t>
  </si>
  <si>
    <t xml:space="preserve">FR-15</t>
  </si>
  <si>
    <t xml:space="preserve">Thanh toán tiền mặt luôn thành công</t>
  </si>
  <si>
    <t xml:space="preserve">Trip đã hoàn thành, có fareAmount</t>
  </si>
  <si>
    <t xml:space="preserve">POST /payments {tripId, method:'cash'}</t>
  </si>
  <si>
    <t xml:space="preserve">method='cash'</t>
  </si>
  <si>
    <t xml:space="preserve">201 Created, status='success' ngay lập tức, providerRef=null</t>
  </si>
  <si>
    <t xml:space="preserve">BA chưa quy định ai xác nhận đã thu tiền mặt (FR-15 chỉ nói hỗ trợ tiền mặt; xem câu hỏi 8, Mục 9)</t>
  </si>
  <si>
    <t xml:space="preserve">TC-PAY-02</t>
  </si>
  <si>
    <t xml:space="preserve">Thanh toán điện tử thành công</t>
  </si>
  <si>
    <t xml:space="preserve">Trip đã hoàn thành; mock gateway trả success (~85%)</t>
  </si>
  <si>
    <t xml:space="preserve">POST /payments {tripId, method:'e-wallet'}</t>
  </si>
  <si>
    <t xml:space="preserve">method='e-wallet'</t>
  </si>
  <si>
    <t xml:space="preserve">201 Created, status='success', có providerRef dạng PROV-xxxx, event PaymentCompleted publish</t>
  </si>
  <si>
    <t xml:space="preserve">TC-PAY-03</t>
  </si>
  <si>
    <t xml:space="preserve">FR-16</t>
  </si>
  <si>
    <t xml:space="preserve">Thanh toán điện tử thất bại</t>
  </si>
  <si>
    <t xml:space="preserve">Trip đã hoàn thành; mock gateway trả thất bại (~15%)</t>
  </si>
  <si>
    <t xml:space="preserve">POST /payments {tripId, method:'e-wallet'} (lặp lại đến khi rơi vào nhánh fail)</t>
  </si>
  <si>
    <t xml:space="preserve">201 Created nhưng status='failed', có failReason, event PaymentFailed publish</t>
  </si>
  <si>
    <t xml:space="preserve">TC-PAY-04</t>
  </si>
  <si>
    <t xml:space="preserve">Tạo thanh toán 2 lần cho cùng 1 chuyến</t>
  </si>
  <si>
    <t xml:space="preserve">Trip đã có 1 giao dịch thanh toán</t>
  </si>
  <si>
    <t xml:space="preserve">POST /payments lần 2 với cùng tripId</t>
  </si>
  <si>
    <t xml:space="preserve">tripId đã tồn tại payment</t>
  </si>
  <si>
    <t xml:space="preserve">409 Conflict, error.code = PAYMENT_ALREADY_EXISTS</t>
  </si>
  <si>
    <t xml:space="preserve">TC-PAY-05</t>
  </si>
  <si>
    <t xml:space="preserve">Thử lại giao dịch đã thành công</t>
  </si>
  <si>
    <t xml:space="preserve">Payment đang ở status='success'</t>
  </si>
  <si>
    <t xml:space="preserve">POST /payments/{id}/retry</t>
  </si>
  <si>
    <t xml:space="preserve">payment.status = success</t>
  </si>
  <si>
    <t xml:space="preserve">409 Conflict, error.code = NOT_RETRYABLE</t>
  </si>
  <si>
    <t xml:space="preserve">TC-PAY-06</t>
  </si>
  <si>
    <t xml:space="preserve">Thử lại giao dịch thất bại</t>
  </si>
  <si>
    <t xml:space="preserve">Payment đang ở status='failed'</t>
  </si>
  <si>
    <t xml:space="preserve">payment.status = failed</t>
  </si>
  <si>
    <t xml:space="preserve">200 OK, gọi lại mock gateway, cập nhật status mới (success hoặc failed tiếp)</t>
  </si>
  <si>
    <t xml:space="preserve">TC-PAY-07</t>
  </si>
  <si>
    <t xml:space="preserve">Thanh toán khi chuyến chưa có cước</t>
  </si>
  <si>
    <t xml:space="preserve">Trip chưa hoàn thành (chưa có fareAmount, chưa có event FareCalculated)</t>
  </si>
  <si>
    <t xml:space="preserve">trip.fareAmount = null</t>
  </si>
  <si>
    <t xml:space="preserve">400 Bad Request, error.code = FARE_NOT_AVAILABLE</t>
  </si>
  <si>
    <t xml:space="preserve">TC-PAY-08</t>
  </si>
  <si>
    <t xml:space="preserve">Khách hàng chỉ xem được thanh toán của chính mình</t>
  </si>
  <si>
    <t xml:space="preserve">Có ≥2 khách hàng, mỗi người có giao dịch riêng</t>
  </si>
  <si>
    <t xml:space="preserve">GET /customers/me/payments bằng token khách hàng A</t>
  </si>
  <si>
    <t xml:space="preserve">token customer A</t>
  </si>
  <si>
    <t xml:space="preserve">200 OK, chỉ trả về giao dịch thuộc các chuyến của khách hàng A</t>
  </si>
  <si>
    <t xml:space="preserve">TC-PAY-09</t>
  </si>
  <si>
    <t xml:space="preserve">BR-7</t>
  </si>
  <si>
    <t xml:space="preserve">Webhook báo thành công nhiều lần chỉ được ghi nhận một lần</t>
  </si>
  <si>
    <t xml:space="preserve">Chuyến thật đã có cước; khoản e-wallet đang ở trạng thái failed (mock được ép thất bại); webhook được gửi kèm xác thực hợp lệ của đối tác thanh toán (giả định NFR Bảo mật bản 1.1 đã áp dụng)</t>
  </si>
  <si>
    <t xml:space="preserve">1. POST /payments/webhook {status:'success'} lần 1 2. Gửi lại đúng nội dung đó lần 2 3. GET /payments/{id} và GET /notifications/me của khách</t>
  </si>
  <si>
    <t xml:space="preserve">{paymentId, status:'success', providerRef:'PROV-1'}</t>
  </si>
  <si>
    <t xml:space="preserve">Khoản chuyển sang success đúng một lần; PaymentCompleted chỉ publish 1 lần; khách chỉ có 1 thông báo 'Thanh toán thành công' (không tính thông báo thất bại trước đó). Hiện tại dự kiến 2 thông báo thành công</t>
  </si>
  <si>
    <t xml:space="preserve">TS-PAY-013</t>
  </si>
  <si>
    <t xml:space="preserve">FAIL: handleWebhook không kiểm tra trạng thái hiện tại của khoản thanh toán trước khi xử lý, nên webhook hợp lệ gửi trùng vẫn bị publish lại sự kiện</t>
  </si>
  <si>
    <t xml:space="preserve">BA chưa quy định cụ thể; liên quan quy tắc giao dịch điện tử cần được xử lý nhất quán, không xử lý trùng</t>
  </si>
  <si>
    <t xml:space="preserve">TC-PAY-10</t>
  </si>
  <si>
    <t xml:space="preserve">Phương thức thanh toán không hợp lệ</t>
  </si>
  <si>
    <t xml:space="preserve">Chuyến đã có cước</t>
  </si>
  <si>
    <t xml:space="preserve">POST /payments với method ngoài danh sách</t>
  </si>
  <si>
    <t xml:space="preserve">{tripId, method:'bitcoin'}</t>
  </si>
  <si>
    <t xml:space="preserve">TC-PAY-11</t>
  </si>
  <si>
    <t xml:space="preserve">Webhook không có chữ ký hợp lệ của đối tác bị từ chối</t>
  </si>
  <si>
    <t xml:space="preserve">Có 1 khoản e-wallet đang failed</t>
  </si>
  <si>
    <t xml:space="preserve">1. POST /payments/webhook {status:'success'} không kèm chữ ký 2. Lặp lại với chữ ký sai 3. GET /payments/{id}</t>
  </si>
  <si>
    <t xml:space="preserve">{paymentId, status:'success'} không có chữ ký, và có chữ ký sai</t>
  </si>
  <si>
    <t xml:space="preserve">Bước 1 và 2: 401 hoặc 403. Bước 3: khoản vẫn failed, không có sự kiện PaymentCompleted. Hiện tại dự kiến webhook chấp nhận và chuyển khoản sang success</t>
  </si>
  <si>
    <t xml:space="preserve">FAIL: webhook không có xác thực hay chữ ký nên ai cũng đánh dấu được là đã thanh toán</t>
  </si>
  <si>
    <t xml:space="preserve">Lệch BA: NFR-4b (đề xuất bổ sung ở bản 1.1, chờ khách hàng xác nhận (Mục 9) - xác thực với đối tác bên ngoài)</t>
  </si>
  <si>
    <t xml:space="preserve">TC-PAY-12</t>
  </si>
  <si>
    <t xml:space="preserve">BR-6</t>
  </si>
  <si>
    <t xml:space="preserve">Số thẻ và mã CVV không được lưu hay trả về trong phản hồi</t>
  </si>
  <si>
    <t xml:space="preserve">Chuyến đã hoàn thành, có cước</t>
  </si>
  <si>
    <t xml:space="preserve">1. POST /payments method='card' kèm cardNumber và cvv trong body (giống cách một client thật có thể vô tình gửi lên) 2. GET /payments/{id}</t>
  </si>
  <si>
    <t xml:space="preserve">{tripId, method:'card', cardNumber:'4111111111111111', cvv:'123'}</t>
  </si>
  <si>
    <t xml:space="preserve">Phản hồi của cả hai bước không chứa cardNumber hay cvv (chỉ có providerRef). Xác nhận bằng cách truy vấn trực tiếp collection payments trong môi trường test (không chỉ dựa vào response API), hoặc kiểm tra dữ liệu được truyền vào lệnh lưu (save/insert) của model Payment trong mã nguồn - phản hồi API không chứa trường này chưa đủ để kết luận là không lưu.</t>
  </si>
  <si>
    <t xml:space="preserve">Bổ sung (quy tắc nghiệp vụ, Mục 7: thông tin thẻ/tài khoản thanh toán nhạy cảm không lưu trực tiếp, xử lý qua đối tác ngoài; đối ứng cách TC-PRICE-15 kiểm trường thừa)</t>
  </si>
  <si>
    <t xml:space="preserve">Cần xác nhận (chốt được bằng cách đọc mã nguồn Payment Service - model và hàm xử lý POST /payments -, không cần chạy thử): chưa rõ hai trường này có bị lọc bỏ trước khi lưu/trả về hay được chuyển tiếp nguyên trạng.</t>
  </si>
  <si>
    <t xml:space="preserve">TC-PAY-13</t>
  </si>
  <si>
    <t xml:space="preserve">Không giả mạo được cước qua sự kiện FareCalculated</t>
  </si>
  <si>
    <t xml:space="preserve">Chuyến thật vừa hoàn thành (cước thật đã vào bộ nhớ đệm)</t>
  </si>
  <si>
    <t xml:space="preserve">1. Người gọi bên ngoài POST /payments/events/fare-calculated qua gateway, không xác thực dịch vụ, amount = 1 2. Khách POST /payments method cash 3. Đối chiếu payment.amount với cước thật của chuyến</t>
  </si>
  <si>
    <t xml:space="preserve">{tripId, amount:1}</t>
  </si>
  <si>
    <t xml:space="preserve">Bước 1: 401 hoặc 403. Bước 3: payment.amount bằng cước thật (không bằng 1). Hiện tại dự kiến sự kiện giả được nhận và bộ nhớ đệm cước bị ghi đè. Bước 2 (khách tự tạo thanh toán tiền mặt) cũng phụ thuộc câu hỏi 8 (Mục 9), độc lập với phần giả mạo sự kiện đang kiểm ở đây.</t>
  </si>
  <si>
    <t xml:space="preserve">Bổ sung (đối ứng TC-PAY-08)</t>
  </si>
  <si>
    <t xml:space="preserve">FAIL: webhook FareCalculated mở qua gateway; bộ nhớ đệm cước nhận giá trị từ bất kỳ ai</t>
  </si>
  <si>
    <t xml:space="preserve">Lệch BA: NFR-4b (đề xuất bổ sung ở bản 1.1, chờ khách hàng xác nhận (Mục 9)) và quy tắc cước chỉ tính theo chuyến thật (bước 2 - khách tự tạo thanh toán tiền mặt - phụ thuộc câu hỏi 8, Mục 9)</t>
  </si>
  <si>
    <t xml:space="preserve">TC-PAY-14</t>
  </si>
  <si>
    <t xml:space="preserve">Khách không được thanh toán chuyến không thuộc về mình</t>
  </si>
  <si>
    <t xml:space="preserve">Chuyến của khách A đã có cước</t>
  </si>
  <si>
    <t xml:space="preserve">1. Khách B (token khác) POST /payments cho chuyến của A 2. Khách B POST /payments/{id}/retry với giao dịch của A</t>
  </si>
  <si>
    <t xml:space="preserve">token khách B, tripId của A</t>
  </si>
  <si>
    <t xml:space="preserve">Cả hai ca: 403 Forbidden. Hiện tại dự kiến 201 và 200 vì không kiểm chủ sở hữu</t>
  </si>
  <si>
    <t xml:space="preserve">FAIL: createAndProcess và retry không đối chiếu người gọi với chủ chuyến</t>
  </si>
  <si>
    <t xml:space="preserve">Lệch BA: NFR-4a (kiểm soát quyền truy cập, bảo vệ thông tin giao dịch)</t>
  </si>
  <si>
    <t xml:space="preserve">TC-PAY-15</t>
  </si>
  <si>
    <t xml:space="preserve">Số tiền thanh toán lấy từ cước của chuyến thật</t>
  </si>
  <si>
    <t xml:space="preserve">Chuyến thật đã hoàn thành</t>
  </si>
  <si>
    <t xml:space="preserve">1. Đọc đơn giá từ GET /pricing/rules (ops_admin) 2. Hoàn thành chuyến với distanceKm và durationMin cố định 3. POST /payments method cash 4. Đối chiếu payment.amount với trip.fareAmount và với công thức từ đơn giá</t>
  </si>
  <si>
    <t xml:space="preserve">payment.amount = trip.fareAmount = baseFare + 5 x perKm + 15 x perMinute theo đơn giá đọc được (70000 với cấu hình hiện tại). Bước thanh toán tiền mặt trong kịch bản này dùng đúng cách khách tự tạo giao dịch hiện tại; nếu câu hỏi 8 (Mục 9) chốt theo hướng tài xế xác nhận, bước và kết quả mong đợi ở đây cần cập nhật lại.</t>
  </si>
  <si>
    <t xml:space="preserve">TC-PAY-16</t>
  </si>
  <si>
    <t xml:space="preserve">FR-15, FR-17</t>
  </si>
  <si>
    <t xml:space="preserve">Luồng ví điện tử với chuyến thật và thông báo tương ứng</t>
  </si>
  <si>
    <t xml:space="preserve">Chuyến thật đã hoàn thành; mock được ép thành công</t>
  </si>
  <si>
    <t xml:space="preserve">1. POST /payments method e-wallet 2. GET /notifications/me của khách</t>
  </si>
  <si>
    <t xml:space="preserve">{tripId, method:'e-wallet'}</t>
  </si>
  <si>
    <t xml:space="preserve">201; payment success có providerRef dạng PROV-xxxx; khách có thông báo 'Thanh toán thành công' ghi rõ phương thức e-wallet</t>
  </si>
  <si>
    <t xml:space="preserve">TS-E2E-002</t>
  </si>
  <si>
    <t xml:space="preserve">PASS: phụ thuộc mock cổng thanh toán cho phép ép kết quả (hiện ngẫu nhiên khoảng 85%)</t>
  </si>
  <si>
    <t xml:space="preserve">TC-PAY-17</t>
  </si>
  <si>
    <t xml:space="preserve">Thanh toán bằng thẻ (card) thành công</t>
  </si>
  <si>
    <t xml:space="preserve">Chuyến có cước; mock được ép thành công</t>
  </si>
  <si>
    <t xml:space="preserve">POST /payments method card</t>
  </si>
  <si>
    <t xml:space="preserve">{tripId, method:'card'}</t>
  </si>
  <si>
    <t xml:space="preserve">201 Created; payment success có providerRef dạng PROV-xxxx; amount bằng cước của chuyến</t>
  </si>
  <si>
    <t xml:space="preserve">Bổ sung (đối ứng TC-PAY-02)</t>
  </si>
  <si>
    <t xml:space="preserve">PASS: phụ thuộc mock cổng thanh toán cho phép ép kết quả</t>
  </si>
  <si>
    <t xml:space="preserve">TC-PAY-18</t>
  </si>
  <si>
    <t xml:space="preserve">Xem giao dịch theo id: chủ giao dịch được xem, người khác bị chặn</t>
  </si>
  <si>
    <t xml:space="preserve">Có giao dịch của khách A</t>
  </si>
  <si>
    <t xml:space="preserve">1. Khách A GET /payments/{id} 2. Khách B GET /payments/{id} của A 3. GET /payments/{uuid-lạ}</t>
  </si>
  <si>
    <t xml:space="preserve">token khách A, token khách B</t>
  </si>
  <si>
    <t xml:space="preserve">Bước 1: 200 đúng tripId, method, amount, status. Bước 2: 403 Forbidden. Bước 3: 404, error.code = PAYMENT_NOT_FOUND</t>
  </si>
  <si>
    <t xml:space="preserve">Cần xác nhận (chốt được bằng cách đọc file route, không cần chạy thử): quyền và việc kiểm chủ sở hữu của GET /payments/{id} chưa rõ</t>
  </si>
  <si>
    <t xml:space="preserve">TC-PAY-19</t>
  </si>
  <si>
    <t xml:space="preserve">ops_staff xem toàn bộ giao dịch</t>
  </si>
  <si>
    <t xml:space="preserve">Có ít nhất 2 giao dịch</t>
  </si>
  <si>
    <t xml:space="preserve">GET /payments bằng ops_staff</t>
  </si>
  <si>
    <t xml:space="preserve">200 OK, mảng chứa cả 2 giao dịch, mỗi giao dịch có tripId, method, amount, status</t>
  </si>
  <si>
    <t xml:space="preserve">Cần xác nhận (chốt được bằng cách đọc file route, không cần chạy thử): quyền gọi GET /payments chưa rõ</t>
  </si>
  <si>
    <t xml:space="preserve">TC-PAY-20</t>
  </si>
  <si>
    <t xml:space="preserve">Khách hàng không xem được toàn bộ giao dịch</t>
  </si>
  <si>
    <t xml:space="preserve">GET /payments bằng token customer</t>
  </si>
  <si>
    <t xml:space="preserve">Notification Service</t>
  </si>
  <si>
    <t xml:space="preserve">TC-NOTI-01</t>
  </si>
  <si>
    <t xml:space="preserve">FR-17</t>
  </si>
  <si>
    <t xml:space="preserve">Khách hàng nhận thông báo khi tài xế nhận chuyến</t>
  </si>
  <si>
    <t xml:space="preserve">Dispatch Service vừa publish event DriverAssigned</t>
  </si>
  <si>
    <t xml:space="preserve">1. Tài xế accept chuyến
2. GET /notifications/me bằng token khách hàng</t>
  </si>
  <si>
    <t xml:space="preserve">event DriverAssigned {tripId, driverId, eta}</t>
  </si>
  <si>
    <t xml:space="preserve">Danh sách thông báo có mục 'Đã tìm thấy tài xế' mới nhất</t>
  </si>
  <si>
    <t xml:space="preserve">TC-NOTI-02</t>
  </si>
  <si>
    <t xml:space="preserve">FR-17, FR-18</t>
  </si>
  <si>
    <t xml:space="preserve">Cả khách hàng và tài xế nhận thông báo khi hoàn thành chuyến</t>
  </si>
  <si>
    <t xml:space="preserve">Trip vừa chuyển status='completed'</t>
  </si>
  <si>
    <t xml:space="preserve">GET /notifications/me bằng cả 2 token khách hàng và tài xế</t>
  </si>
  <si>
    <t xml:space="preserve">event TripCompleted</t>
  </si>
  <si>
    <t xml:space="preserve">Khách hàng nhận 'Chuyến đi hoàn thành' kèm nhắc đánh giá; tài xế nhận thông báo hoàn thành riêng</t>
  </si>
  <si>
    <t xml:space="preserve">TC-NOTI-03</t>
  </si>
  <si>
    <t xml:space="preserve">Thông báo khi thanh toán thất bại kèm lý do</t>
  </si>
  <si>
    <t xml:space="preserve">Payment Service vừa publish event PaymentFailed</t>
  </si>
  <si>
    <t xml:space="preserve">GET /notifications/me bằng token khách hàng</t>
  </si>
  <si>
    <t xml:space="preserve">event PaymentFailed {reason}</t>
  </si>
  <si>
    <t xml:space="preserve">Thông báo 'Thanh toán thất bại' có nội dung chứa lý do thất bại</t>
  </si>
  <si>
    <t xml:space="preserve">TC-NOTI-04</t>
  </si>
  <si>
    <t xml:space="preserve">FR-19</t>
  </si>
  <si>
    <t xml:space="preserve">NFR-5</t>
  </si>
  <si>
    <t xml:space="preserve">Ops_admin thêm kênh thông báo mới</t>
  </si>
  <si>
    <t xml:space="preserve">POST /notifications/channels {name:'Zalo OA', type:'zalo'}</t>
  </si>
  <si>
    <t xml:space="preserve">{name, type}</t>
  </si>
  <si>
    <t xml:space="preserve">201 Created, kênh mới xuất hiện trong danh sách, không cần sửa code service khác</t>
  </si>
  <si>
    <t xml:space="preserve">TC-NOTI-05</t>
  </si>
  <si>
    <t xml:space="preserve">Nhân viên thường (ops_staff) cố thêm kênh</t>
  </si>
  <si>
    <t xml:space="preserve">Có token role=ops_staff (không phải ops_admin)</t>
  </si>
  <si>
    <t xml:space="preserve">POST /notifications/channels</t>
  </si>
  <si>
    <t xml:space="preserve">403 Forbidden (chỉ ops_admin)</t>
  </si>
  <si>
    <t xml:space="preserve">TC-NOTI-06</t>
  </si>
  <si>
    <t xml:space="preserve">Khách nhận đủ chuỗi thông báo theo đúng thứ tự trong luồng đặt xe</t>
  </si>
  <si>
    <t xml:space="preserve">Luồng thật với 1 khách, 1 tài xế</t>
  </si>
  <si>
    <t xml:space="preserve">1. Tài xế accept 2. Cập nhật arrived, picked_up, in_progress, completed 3. Khách thanh toán tiền mặt 4. GET /notifications/me (đợi bằng polling)</t>
  </si>
  <si>
    <t xml:space="preserve">luồng E2E tiền mặt</t>
  </si>
  <si>
    <t xml:space="preserve">Khách có các thông báo theo thứ tự thời gian: tìm thấy tài xế, đã đến, đã đón, đang diễn ra, hoàn thành, thanh toán thành công (đợi bằng polling). Ca này không kiểm thông báo tiếp nhận yêu cầu (xem TC-NOTI-11). Bước thanh toán tiền mặt trong kịch bản này dùng đúng cách khách tự tạo giao dịch hiện tại; nếu câu hỏi 8 (Mục 9) chốt theo hướng tài xế xác nhận, bước và kết quả mong đợi ở đây cần cập nhật lại.</t>
  </si>
  <si>
    <t xml:space="preserve">TS-NTF-001</t>
  </si>
  <si>
    <t xml:space="preserve">TC-NOTI-07</t>
  </si>
  <si>
    <t xml:space="preserve">Khách được thông báo khi chuyến bị hủy</t>
  </si>
  <si>
    <t xml:space="preserve">Chuyến đang finding_driver hoặc driver_assigned</t>
  </si>
  <si>
    <t xml:space="preserve">1. Khách hủy chuyến 2. GET /notifications/me</t>
  </si>
  <si>
    <t xml:space="preserve">chuyến vừa hủy</t>
  </si>
  <si>
    <t xml:space="preserve">Khách nhận thông báo chuyến đã hủy. Hiện tại dự kiến không có thông báo</t>
  </si>
  <si>
    <t xml:space="preserve">TS-NTF-002</t>
  </si>
  <si>
    <t xml:space="preserve">FAIL: ánh xạ TripStatusChanged chưa có trạng thái cancelled</t>
  </si>
  <si>
    <t xml:space="preserve">BA chưa quy định rõ (FR-17 không liệt kê mốc hủy chuyến); đề xuất bổ sung nhưng chưa sửa BA</t>
  </si>
  <si>
    <t xml:space="preserve">TC-NOTI-08</t>
  </si>
  <si>
    <t xml:space="preserve">Khách nhận thông báo khi không tìm được tài xế</t>
  </si>
  <si>
    <t xml:space="preserve">Không có tài xế available trong vùng</t>
  </si>
  <si>
    <t xml:space="preserve">1. Khách tạo chuyến ở vùng không có tài xế 2. Polling GET /notifications/me</t>
  </si>
  <si>
    <t xml:space="preserve">vùng tọa độ riêng, không có tài xế</t>
  </si>
  <si>
    <t xml:space="preserve">Khách nhận thông báo 'Không tìm được tài xế' có gợi ý thử lại sau</t>
  </si>
  <si>
    <t xml:space="preserve">TC-NOTI-09</t>
  </si>
  <si>
    <t xml:space="preserve">Xác thực khi xem thông báo</t>
  </si>
  <si>
    <t xml:space="preserve">1. GET /notifications/me không token 2. Token đã hết hạn 3. Token ký sai secret</t>
  </si>
  <si>
    <t xml:space="preserve">Cả ba ca: 401 Unauthorized</t>
  </si>
  <si>
    <t xml:space="preserve">TC-NOTI-10</t>
  </si>
  <si>
    <t xml:space="preserve">Mỗi người chỉ thấy thông báo của mình</t>
  </si>
  <si>
    <t xml:space="preserve">2 khách, mỗi người có 1 chuyến phát sinh thông báo; 1 tài xế</t>
  </si>
  <si>
    <t xml:space="preserve">GET /notifications/me bằng token của từng người</t>
  </si>
  <si>
    <t xml:space="preserve">token khách A, khách B, tài xế</t>
  </si>
  <si>
    <t xml:space="preserve">Mỗi khách chỉ thấy thông báo thuộc chuyến của mình; tài xế không thấy thông báo dành cho khách</t>
  </si>
  <si>
    <t xml:space="preserve">TC-NOTI-11</t>
  </si>
  <si>
    <t xml:space="preserve">Khách nhận thông báo 'đã tiếp nhận yêu cầu' ngay khi tạo chuyến</t>
  </si>
  <si>
    <t xml:space="preserve">Khách đăng nhập, chưa có chuyến hoạt động</t>
  </si>
  <si>
    <t xml:space="preserve">1. Khách POST /trips 2. Polling GET /notifications/me trong 5 giây</t>
  </si>
  <si>
    <t xml:space="preserve">chuyến hợp lệ</t>
  </si>
  <si>
    <t xml:space="preserve">Khách có thông báo 'đã tiếp nhận yêu cầu đặt xe' trong vòng 5 giây. Hiện tại dự kiến không có thông báo nào ở bước này</t>
  </si>
  <si>
    <t xml:space="preserve">FAIL: Notification Service chưa xử lý sự kiện TripRequested</t>
  </si>
  <si>
    <t xml:space="preserve">Lệch BA: FR-17 (liệt kê rõ 'tiếp nhận yêu cầu' là một mốc thông báo bắt buộc)</t>
  </si>
  <si>
    <t xml:space="preserve">TC-NOTI-12</t>
  </si>
  <si>
    <t xml:space="preserve">Nội dung thông báo khi tài xế đã đến điểm đón</t>
  </si>
  <si>
    <t xml:space="preserve">Chuyến thật, tài xế chuyển sang arrived. Dùng webhook nội bộ như hiện tại; khi endpoint được bảo vệ (TC-NOTI-13) đổi sang token dịch vụ.</t>
  </si>
  <si>
    <t xml:space="preserve">POST /notifications/events/trip-status-changed với status arrived, sau đó GET /notifications/me</t>
  </si>
  <si>
    <t xml:space="preserve">{tripId, status:'arrived'}</t>
  </si>
  <si>
    <t xml:space="preserve">Khách có thông báo tiêu đề 'Cập nhật chuyến đi', nội dung 'Tài xế đã đến điểm đón'</t>
  </si>
  <si>
    <t xml:space="preserve">TC-NOTI-13</t>
  </si>
  <si>
    <t xml:space="preserve">Endpoint nhận sự kiện của Notification không gọi được từ bên ngoài</t>
  </si>
  <si>
    <t xml:space="preserve">Chuyến thật của khách</t>
  </si>
  <si>
    <t xml:space="preserve">1. POST /notifications/events/driver-assigned qua gateway, không xác thực dịch vụ, tripId của khách 2. GET /notifications/me của khách</t>
  </si>
  <si>
    <t xml:space="preserve">{tripId, driverId, eta:5}</t>
  </si>
  <si>
    <t xml:space="preserve">Bước 1: 401 hoặc 403. Bước 2: khách không có thông báo giả. Hiện tại dự kiến 200 và khách nhận thông báo 'Đã tìm thấy tài xế' do người ngoài tạo</t>
  </si>
  <si>
    <t xml:space="preserve">FAIL: các webhook sự kiện mở qua gateway; nhiều test hiện dùng chính các endpoint này</t>
  </si>
  <si>
    <t xml:space="preserve">TC-NOTI-14</t>
  </si>
  <si>
    <t xml:space="preserve">Thông báo thanh toán thành công nêu phương thức</t>
  </si>
  <si>
    <t xml:space="preserve">Chuyến thật của khách. Dùng webhook nội bộ như hiện tại; khi endpoint được bảo vệ (TC-NOTI-13) đổi sang token dịch vụ.</t>
  </si>
  <si>
    <t xml:space="preserve">POST /notifications/events/payment-completed rồi GET /notifications/me</t>
  </si>
  <si>
    <t xml:space="preserve">Thông báo 'Thanh toán thành công' có nội dung chứa 'e-wallet'</t>
  </si>
  <si>
    <t xml:space="preserve">TC-NOTI-15</t>
  </si>
  <si>
    <t xml:space="preserve">Sự kiện có tripId không tồn tại được bỏ qua an toàn</t>
  </si>
  <si>
    <t xml:space="preserve">Không có. Dùng webhook nội bộ như hiện tại; khi endpoint được bảo vệ (TC-NOTI-13) đổi sang token dịch vụ.</t>
  </si>
  <si>
    <t xml:space="preserve">POST /notifications/events/driver-assigned với tripId ngẫu nhiên</t>
  </si>
  <si>
    <t xml:space="preserve">{tripId:'uuid-lạ', driverId, eta:5}</t>
  </si>
  <si>
    <t xml:space="preserve">200 {received:true}; không tạo thông báo; service không trả lỗi 500</t>
  </si>
  <si>
    <t xml:space="preserve">TC-NOTI-16</t>
  </si>
  <si>
    <t xml:space="preserve">Thêm kênh thông báo thiếu name hoặc type</t>
  </si>
  <si>
    <t xml:space="preserve">1. POST /notifications/channels thiếu name 2. POST /notifications/channels thiếu type</t>
  </si>
  <si>
    <t xml:space="preserve">{type:'sms'} và {name:'SMS 2'}</t>
  </si>
  <si>
    <t xml:space="preserve">TC-NOTI-17</t>
  </si>
  <si>
    <t xml:space="preserve">Khách hàng không được thêm kênh thông báo</t>
  </si>
  <si>
    <t xml:space="preserve">POST /notifications/channels bằng token customer</t>
  </si>
  <si>
    <t xml:space="preserve">{name:'Zalo OA', type:'zalo'}</t>
  </si>
  <si>
    <t xml:space="preserve">Bổ sung (đối ứng TC-NOTI-05)</t>
  </si>
  <si>
    <t xml:space="preserve">TC-NOTI-18</t>
  </si>
  <si>
    <t xml:space="preserve">Không cho thêm kênh trùng tên và loại</t>
  </si>
  <si>
    <t xml:space="preserve">POST /notifications/channels hai lần với cùng name và type</t>
  </si>
  <si>
    <t xml:space="preserve">{name:'Kênh trùng', type:'email'}</t>
  </si>
  <si>
    <t xml:space="preserve">Lần 2: 409 Conflict. Hiện tại dự kiến 201 (dữ liệu cũ đã tích lũy 3 dòng Zalo OA giống nhau)</t>
  </si>
  <si>
    <t xml:space="preserve">FAIL: chưa kiểm tra trùng kênh</t>
  </si>
  <si>
    <t xml:space="preserve">BA chưa quy định (FR-19 chỉ nói kiến trúc cho phép mở rộng kênh); lỗi dữ liệu nên sửa</t>
  </si>
  <si>
    <t xml:space="preserve">TC-NOTI-19</t>
  </si>
  <si>
    <t xml:space="preserve">Sự kiện DriverAssigned gửi trùng chỉ tạo một thông báo</t>
  </si>
  <si>
    <t xml:space="preserve">POST /notifications/events/driver-assigned hai lần cùng payload rồi GET /notifications/me</t>
  </si>
  <si>
    <t xml:space="preserve">Khách chỉ có 1 thông báo 'Đã tìm thấy tài xế'. Hiện tại dự kiến 2 thông báo</t>
  </si>
  <si>
    <t xml:space="preserve">FAIL: chưa khử trùng sự kiện</t>
  </si>
  <si>
    <t xml:space="preserve">BA chưa quy định (không có yêu cầu cụ thể về xử lý sự kiện trùng); lỗi kỹ thuật nên khử trùng</t>
  </si>
  <si>
    <t xml:space="preserve">TC-NOTI-20</t>
  </si>
  <si>
    <t xml:space="preserve">FR-18</t>
  </si>
  <si>
    <t xml:space="preserve">Tài xế nhận thông báo khi khách hủy chuyến đã nhận</t>
  </si>
  <si>
    <t xml:space="preserve">Chuyến đã gán tài xế</t>
  </si>
  <si>
    <t xml:space="preserve">1. Khách hủy chuyến 2. GET /notifications/me bằng token tài xế</t>
  </si>
  <si>
    <t xml:space="preserve">chuyến ở driver_assigned</t>
  </si>
  <si>
    <t xml:space="preserve">Tài xế nhận thông báo chuyến đã bị khách hủy. Hiện tại dự kiến không có (tài xế chỉ nhận thông báo hoàn thành chuyến)</t>
  </si>
  <si>
    <t xml:space="preserve">FAIL: chưa gửi thông báo cho tài xế khi chuyến bị hủy</t>
  </si>
  <si>
    <t xml:space="preserve">Lệch BA: FR-18 (thông báo tài xế về thay đổi liên quan đến chuyến đang thực hiện)</t>
  </si>
  <si>
    <t xml:space="preserve">Admin Service</t>
  </si>
  <si>
    <t xml:space="preserve">TC-ADM-01</t>
  </si>
  <si>
    <t xml:space="preserve">FR-21</t>
  </si>
  <si>
    <t xml:space="preserve">Ops_staff xem danh sách toàn bộ chuyến</t>
  </si>
  <si>
    <t xml:space="preserve">GET /admin/trips</t>
  </si>
  <si>
    <t xml:space="preserve">200 OK, trả về danh sách trip tổng hợp từ Trip Service</t>
  </si>
  <si>
    <t xml:space="preserve">TC-ADM-02</t>
  </si>
  <si>
    <t xml:space="preserve">Khách hàng/tài xế cố truy cập trang quản trị</t>
  </si>
  <si>
    <t xml:space="preserve">Có token role=customer hoặc driver</t>
  </si>
  <si>
    <t xml:space="preserve">token customer hoặc driver</t>
  </si>
  <si>
    <t xml:space="preserve">TC-ADM-03</t>
  </si>
  <si>
    <t xml:space="preserve">Ops_staff (không phải ops_admin) cố khóa tài khoản khách hàng</t>
  </si>
  <si>
    <t xml:space="preserve">DELETE /admin/customers/{id}</t>
  </si>
  <si>
    <t xml:space="preserve">403 Forbidden (chỉ ops_admin được thao tác nhạy cảm)</t>
  </si>
  <si>
    <t xml:space="preserve">TC-ADM-04</t>
  </si>
  <si>
    <t xml:space="preserve">NFR-4a, BR-8</t>
  </si>
  <si>
    <t xml:space="preserve">Ops_admin khóa tài khoản khách hàng thành công</t>
  </si>
  <si>
    <t xml:space="preserve">200 OK; gọi xuống Customer Service; khách hàng đó không đăng nhập lại được (403 ACCOUNT_DISABLED)</t>
  </si>
  <si>
    <t xml:space="preserve">TC-ADM-05</t>
  </si>
  <si>
    <t xml:space="preserve">FR-23</t>
  </si>
  <si>
    <t xml:space="preserve">Báo cáo doanh thu tính đúng trong khoảng thời gian</t>
  </si>
  <si>
    <t xml:space="preserve">Có ≥2 chuyến completed với fareAmount đã biết, trong và ngoài khoảng from/to</t>
  </si>
  <si>
    <t xml:space="preserve">GET /admin/reports/revenue?from=...&amp;to=...</t>
  </si>
  <si>
    <t xml:space="preserve">from/to bao trọn 1 chuyến, loại trừ chuyến còn lại</t>
  </si>
  <si>
    <t xml:space="preserve">value = đúng tổng fareAmount của các chuyến completed nằm trong khoảng, không tính chuyến ngoài khoảng</t>
  </si>
  <si>
    <t xml:space="preserve">BA chưa quy định công thức doanh thu cụ thể (FR-23 chỉ nêu tên chỉ số)</t>
  </si>
  <si>
    <t xml:space="preserve">TC-ADM-06</t>
  </si>
  <si>
    <t xml:space="preserve">Báo cáo hiệu quả tài xế tính đúng completionRate &amp; averageRating</t>
  </si>
  <si>
    <t xml:space="preserve">Tài xế có N chuyến, trong đó M completed, đã có đánh giá</t>
  </si>
  <si>
    <t xml:space="preserve">GET /admin/reports/driver-performance</t>
  </si>
  <si>
    <t xml:space="preserve">driver có lịch sử chuyến + rating</t>
  </si>
  <si>
    <t xml:space="preserve">completionRate = M/N; averageRating khớp với GET /drivers/{id}/ratings</t>
  </si>
  <si>
    <t xml:space="preserve">Đúng BA (FR-23 - endpoint đã trả completionRate và averageRating theo tài xế)</t>
  </si>
  <si>
    <t xml:space="preserve">TC-ADM-07</t>
  </si>
  <si>
    <t xml:space="preserve">Ghi nhận xử lý sự cố cho 1 chuyến</t>
  </si>
  <si>
    <t xml:space="preserve">Trip tồn tại, đang gặp sự cố</t>
  </si>
  <si>
    <t xml:space="preserve">POST /admin/trips/{id}/resolve {resolutionNote}</t>
  </si>
  <si>
    <t xml:space="preserve">{resolutionNote:'Đã liên hệ tài xế, chuyến tiếp tục bình thường'}</t>
  </si>
  <si>
    <t xml:space="preserve">201 Created, log resolvedIssue được lưu; KHÔNG thay đổi trực tiếp status của Trip</t>
  </si>
  <si>
    <t xml:space="preserve">BA chưa quy định quy trình xử lý sự cố cụ thể (ghi log là cách tiếp cận hợp lý cho giai đoạn đầu)</t>
  </si>
  <si>
    <t xml:space="preserve">TC-ADM-08</t>
  </si>
  <si>
    <t xml:space="preserve">Doanh thu theo cước chuyến hoàn thành (hành vi hiện tại)</t>
  </si>
  <si>
    <t xml:space="preserve">Trong cửa sổ from/to hẹp quanh dữ liệu test có 1 chuyến completed (70000), 1 chuyến cancelled, 1 chuyến no_driver_found</t>
  </si>
  <si>
    <t xml:space="preserve">value = 70000; chuyến cancelled và no_driver_found không được cộng</t>
  </si>
  <si>
    <t xml:space="preserve">TS-ADM-010</t>
  </si>
  <si>
    <t xml:space="preserve">BA chưa quy định công thức doanh thu cụ thể (FR-23 chỉ nêu tên chỉ số, giống TC-ADM-05)</t>
  </si>
  <si>
    <t xml:space="preserve">TC-ADM-09</t>
  </si>
  <si>
    <t xml:space="preserve">Báo cáo số chuyến theo khoảng thời gian</t>
  </si>
  <si>
    <t xml:space="preserve">Tạo chuyến A, ghi thời điểm T1, đợi 1 giây, tạo chuyến B</t>
  </si>
  <si>
    <t xml:space="preserve">GET /admin/reports/trips với to = T1 và from là thời điểm trước chuyến A</t>
  </si>
  <si>
    <t xml:space="preserve">value bao gồm chuyến A và không bao gồm chuyến B</t>
  </si>
  <si>
    <t xml:space="preserve">TC-ADM-10</t>
  </si>
  <si>
    <t xml:space="preserve">Tỷ lệ hoàn thành theo BA: mẫu số chỉ gồm chuyến đã kết thúc</t>
  </si>
  <si>
    <t xml:space="preserve">Cửa sổ thời gian hẹp có 4 chuyến: 3 completed, 1 cancelled</t>
  </si>
  <si>
    <t xml:space="preserve">GET /admin/reports/completion-rate?from=...&amp;to=...</t>
  </si>
  <si>
    <t xml:space="preserve">value = 0.75</t>
  </si>
  <si>
    <t xml:space="preserve">TC-ADM-11</t>
  </si>
  <si>
    <t xml:space="preserve">Tỷ lệ hủy theo BA: mẫu số chỉ gồm chuyến đã kết thúc</t>
  </si>
  <si>
    <t xml:space="preserve">Cùng dữ liệu với TC-ADM-10 (4 chuyến)</t>
  </si>
  <si>
    <t xml:space="preserve">GET /admin/reports/cancellation-rate?from=...&amp;to=...</t>
  </si>
  <si>
    <t xml:space="preserve">value = 0.25</t>
  </si>
  <si>
    <t xml:space="preserve">TC-ADM-12</t>
  </si>
  <si>
    <t xml:space="preserve">Khoảng thời gian rỗng: mọi chỉ số bằng 0, không phải NaN</t>
  </si>
  <si>
    <t xml:space="preserve">Khoảng thời gian trong quá khứ xa, không có chuyến</t>
  </si>
  <si>
    <t xml:space="preserve">Gọi 4 báo cáo trips, revenue, completion-rate, cancellation-rate</t>
  </si>
  <si>
    <t xml:space="preserve">from 2000-01-01, to 2000-01-02</t>
  </si>
  <si>
    <t xml:space="preserve">Cả bốn value = 0 (số hợp lệ, không NaN hay null)</t>
  </si>
  <si>
    <t xml:space="preserve">TC-ADM-13</t>
  </si>
  <si>
    <t xml:space="preserve">ops_staff xem danh sách khách hàng qua Admin Service</t>
  </si>
  <si>
    <t xml:space="preserve">Có khách đã đăng ký</t>
  </si>
  <si>
    <t xml:space="preserve">GET /admin/customers</t>
  </si>
  <si>
    <t xml:space="preserve">200 OK, mảng khách hàng, không có passwordHash</t>
  </si>
  <si>
    <t xml:space="preserve">TC-ADM-14</t>
  </si>
  <si>
    <t xml:space="preserve">ops_staff xem danh sách tài xế qua Admin Service</t>
  </si>
  <si>
    <t xml:space="preserve">Có tài xế đã đăng ký</t>
  </si>
  <si>
    <t xml:space="preserve">GET /admin/drivers</t>
  </si>
  <si>
    <t xml:space="preserve">200 OK, mảng tài xế, không có passwordHash</t>
  </si>
  <si>
    <t xml:space="preserve">TC-ADM-15</t>
  </si>
  <si>
    <t xml:space="preserve">Danh sách phương tiện chỉ gồm tài xế có xe</t>
  </si>
  <si>
    <t xml:space="preserve">1 tài xế có vehicle, 1 tài xế đăng ký không kèm vehicle</t>
  </si>
  <si>
    <t xml:space="preserve">GET /admin/vehicles</t>
  </si>
  <si>
    <t xml:space="preserve">Có mục của tài xế có xe (driverId, driverName, plate, model, type); không có mục của tài xế thiếu xe</t>
  </si>
  <si>
    <t xml:space="preserve">TC-ADM-16</t>
  </si>
  <si>
    <t xml:space="preserve">Lọc chuyến theo trạng thái</t>
  </si>
  <si>
    <t xml:space="preserve">Có chuyến completed và chuyến finding_driver</t>
  </si>
  <si>
    <t xml:space="preserve">GET /admin/trips?status=completed</t>
  </si>
  <si>
    <t xml:space="preserve">Mọi phần tử trả về có status = completed, không lẫn trạng thái khác</t>
  </si>
  <si>
    <t xml:space="preserve">Bổ sung (mở rộng TC-ADM-01)</t>
  </si>
  <si>
    <t xml:space="preserve">TC-ADM-17</t>
  </si>
  <si>
    <t xml:space="preserve">BR-9, NFR-4a</t>
  </si>
  <si>
    <t xml:space="preserve">Thao tác khóa tài khoản được ghi vào audit log</t>
  </si>
  <si>
    <t xml:space="preserve">Có tài khoản khách hàng đang active; có token ops_admin</t>
  </si>
  <si>
    <t xml:space="preserve">1. ops_admin PATCH /customers/{id}/disable 2. Tra cứu bản ghi audit log tương ứng với thao tác này (qua endpoint tra cứu log nếu có, hoặc kiểm tra trực tiếp nơi lưu log)</t>
  </si>
  <si>
    <t xml:space="preserve">token ops_admin, 1 khách hàng đang active</t>
  </si>
  <si>
    <t xml:space="preserve">Có bản ghi lưu vết ghi nhận: ai thực hiện (ops_admin), thao tác gì (khóa tài khoản), đối tượng nào, thời điểm nào. Hiện tại dự kiến không có bản ghi nào vì hệ thống chưa có audit log</t>
  </si>
  <si>
    <t xml:space="preserve">Bổ sung (quy tắc nghiệp vụ, Mục 7: mọi thao tác quan trọng phải được lưu vết)</t>
  </si>
  <si>
    <t xml:space="preserve">FAIL: hệ thống hiện không ghi audit log cho các thao tác quản trị nhạy cảm như khóa tài khoản</t>
  </si>
  <si>
    <t xml:space="preserve">Lệch BA: BR-9 (Mục 7) - mọi thao tác quan trọng phải được lưu vết (audit log); cùng nội dung với NFR-4a</t>
  </si>
  <si>
    <t xml:space="preserve">TC-ADM-18</t>
  </si>
  <si>
    <t xml:space="preserve">ops_staff xem lịch sử giao dịch qua Admin Service</t>
  </si>
  <si>
    <t xml:space="preserve">Có ít nhất 1 giao dịch</t>
  </si>
  <si>
    <t xml:space="preserve">GET /admin/transactions</t>
  </si>
  <si>
    <t xml:space="preserve">200 OK, mảng giao dịch có tripId, method, amount, status</t>
  </si>
  <si>
    <t xml:space="preserve">Cần xác nhận (chốt được bằng cách đọc file route, không cần chạy thử): phụ thuộc quyền gọi GET /payments của ops_staff</t>
  </si>
  <si>
    <t xml:space="preserve">TC-ADM-19</t>
  </si>
  <si>
    <t xml:space="preserve">BR-9</t>
  </si>
  <si>
    <t xml:space="preserve">Ghi nhận xử lý sự cố thiếu ghi chú</t>
  </si>
  <si>
    <t xml:space="preserve">Có token ops_staff; chuyến tồn tại</t>
  </si>
  <si>
    <t xml:space="preserve">POST /admin/trips/{id}/resolve với body rỗng</t>
  </si>
  <si>
    <t xml:space="preserve">{}</t>
  </si>
  <si>
    <t xml:space="preserve">400 Bad Request, error.code = INVALID_INPUT. Hiện tại dự kiến 500 vì model bắt buộc resolutionNote nhưng repository không kiểm tra</t>
  </si>
  <si>
    <t xml:space="preserve">Bổ sung (đối ứng TC-ADM-07)</t>
  </si>
  <si>
    <t xml:space="preserve">FAIL: thiếu kiểm tra resolutionNote trước khi lưu</t>
  </si>
  <si>
    <t xml:space="preserve">BA chưa quy định chi tiết; liên quan quy tắc mọi thao tác quan trọng phải được lưu vết</t>
  </si>
  <si>
    <t xml:space="preserve">TC-ADM-20</t>
  </si>
  <si>
    <t xml:space="preserve">ops_admin khóa khách hàng không tồn tại</t>
  </si>
  <si>
    <t xml:space="preserve">DELETE /admin/customers/{uuid-lạ}</t>
  </si>
  <si>
    <t xml:space="preserve">404 Not Found, error.code = CUSTOMER_NOT_FOUND (lỗi được chuyển tiếp từ Customer Service)</t>
  </si>
  <si>
    <t xml:space="preserve">API Gateway</t>
  </si>
  <si>
    <t xml:space="preserve">TC-GATE-01</t>
  </si>
  <si>
    <t xml:space="preserve">Gateway trả đúng trạng thái /health, /ready, /health/services (3 test con độc lập: 01a/01b/01c)</t>
  </si>
  <si>
    <t xml:space="preserve">Toàn bộ 11 thành phần (Event Bus + 9 service + Gateway) đang chạy</t>
  </si>
  <si>
    <t xml:space="preserve">TC-GATE-01a: GET /health | TC-GATE-01b: GET /ready | TC-GATE-01c: GET /health/services (tách riêng từ 01/10/2026 để không bị che kết quả khi 1 bước fail)</t>
  </si>
  <si>
    <t xml:space="preserve">Không cần token</t>
  </si>
  <si>
    <t xml:space="preserve">TC-GATE-01a: /health trả 200 (PASS). TC-GATE-01b: /ready trả 200 (FAIL thật, 404). TC-GATE-01c: /health/services trả 200 kèm danh sách trạng thái các service (FAIL thật, 404)</t>
  </si>
  <si>
    <t xml:space="preserve">Bảng chấm thực hành, mục 6</t>
  </si>
  <si>
    <t xml:space="preserve">FAIL (đã xác nhận đầy đủ bằng test thật ngày 01/10/2026, testcase/tests/gateway/TC-GATE-01.test.js): TC-GATE-01a PASS (/health trả 200 đúng); TC-GATE-01b FAIL (/ready trả 404 — route chưa tồn tại); TC-GATE-01c FAIL (/health/services trả 404 — route chưa tồn tại). Chỉ có /health là hoạt động, còn 2 trong 3 endpoint giám sát của bảng chấm chưa được cài đặt ở Gateway</t>
  </si>
  <si>
    <t xml:space="preserve">TC-GATE-02</t>
  </si>
  <si>
    <t xml:space="preserve">JWT bị sửa payload (tampering) không được chấp nhận</t>
  </si>
  <si>
    <t xml:space="preserve">Có endpoint chỉ dành cho ops_admin (đại diện: GET /admin/customers)</t>
  </si>
  <si>
    <t xml:space="preserve">1. Lấy 1 token customer hợp lệ, tự sửa payload (role=ops_admin) nhưng giữ nguyên chữ ký cũ, gọi endpoint ops_admin 2. Tự ký một token khác bằng secret đoán bừa (không phải JWT_SECRET thật), gọi cùng endpoint</t>
  </si>
  <si>
    <t xml:space="preserve">{sub:'admin_001', role:'ops_admin'} - payload bị sửa/ký lại</t>
  </si>
  <si>
    <t xml:space="preserve">Cả hai bước: 401 Unauthorized (chữ ký không hợp lệ), không truy cập được dữ liệu ops_admin</t>
  </si>
  <si>
    <t xml:space="preserve">Bảng chấm thực hành, mục 27</t>
  </si>
  <si>
    <t xml:space="preserve">PASS (đã xác nhận bằng test thật ngày 01/10/2026, testcase/tests/gateway/TC-GATE-02.test.js): cả 2 kịch bản tamper (giữ chữ ký cũ, và ký lại bằng secret đoán bừa) đều bị từ chối 401 đúng như kỳ vọng</t>
  </si>
  <si>
    <t xml:space="preserve">Đúng BA: NFR-4a (xác thực đã được triển khai đúng, chữ ký JWT giả mạo bị từ chối)</t>
  </si>
  <si>
    <t xml:space="preserve">TC-GATE-03</t>
  </si>
  <si>
    <t xml:space="preserve">NFR-2</t>
  </si>
  <si>
    <t xml:space="preserve">Spam API liên tục phải được giới hạn tần suất (rate limit)</t>
  </si>
  <si>
    <t xml:space="preserve">Gửi 100 POST /trips song song cùng một token, kiểm tra có ít nhất 1 phản hồi 429, rồi gửi thêm 1 request nữa kiểm tra hệ thống vẫn phản hồi bình thường</t>
  </si>
  <si>
    <t xml:space="preserve">1 khách, body đặt xe hợp lệ lặp lại 100 lần</t>
  </si>
  <si>
    <t xml:space="preserve">Có ít nhất 1 phản hồi 429 trong 100 request; request sau đó vẫn nhận 200/201/429, không phải 500 hoặc không phản hồi</t>
  </si>
  <si>
    <t xml:space="preserve">Bảng chấm thực hành, mục 29</t>
  </si>
  <si>
    <t xml:space="preserve">FAIL (đã xác nhận bằng test thật ngày 01/10/2026, testcase/tests/gateway/TC-GATE-03.test.js): 0/100 request bị giới hạn (rateLimitedCount=0) - hệ thống hiện chưa có middleware rate limit</t>
  </si>
  <si>
    <t xml:space="preserve">Tổng số test case</t>
  </si>
  <si>
    <t xml:space="preserve">Đã có (file cũ)</t>
  </si>
  <si>
    <t xml:space="preserve">Thêm mới</t>
  </si>
  <si>
    <t xml:space="preserve">Dự kiến FAIL</t>
  </si>
  <si>
    <t xml:space="preserve">Cần xác nhận</t>
  </si>
  <si>
    <t xml:space="preserve">Lệch BA</t>
  </si>
  <si>
    <t xml:space="preserve">BA chưa quy định</t>
  </si>
  <si>
    <t xml:space="preserve">TỔNG CỘNG</t>
  </si>
  <si>
    <t xml:space="preserve">Ghi chú</t>
  </si>
  <si>
    <t xml:space="preserve">1. Căn cứ: tài liệu Phan-Tich-BA-CAB-System.docx (bản 1.2, 25 FR và 10 quy tắc nghiệp vụ có mã BR-1..10) - đúng bản mà bản triển khai (code) được xây dựng theo.</t>
  </si>
  <si>
    <t xml:space="preserve">2. Mục tiêu: mỗi trong 9 service nghiệp vụ có 20 test case (68 test cũ cộng 112 test mới). Từ bản v17, thêm nhóm 'API Gateway' cho các test không thuộc riêng service nào (health check, và các gap hạ tầng khác theo bảng chấm thực hành) - nhóm này không theo mốc 20 test.</t>
  </si>
  <si>
    <t xml:space="preserve">3. Cột 'Dự kiến khi chạy': PASS = dự kiến đạt. FAIL = dự kiến không đạt, cần sửa mã nguồn. Cần xác nhận = chưa đủ thông tin. Trong số này, 7 test (TC-DRV-19, TC-LOC-12, TC-PAY-18/19/20, TC-ADM-18, TC-PAY-12; cấu hình route hoặc model Payment) cùng giả thuyết ở ghi chú 10 chốt được bằng cách đọc mã, không cần chạy thử; các dòng còn lại cần chạy thật.</t>
  </si>
  <si>
    <t xml:space="preserve">4. Cột 'Đối chiếu với BA': Đúng BA; BA chưa quy định (không phải lỗi, nhiều trường hợp đã liệt kê ở Mục 9 của BA là điểm chưa chốt); Lệch BA (vi phạm yêu cầu/quy tắc BA đã nêu, kèm trích dẫn); Chưa xác định (ứng với dòng Cần xác nhận). Khi nhiều test cùng dựa trên một hành vi đang chờ khách hàng quyết định (ví dụ bước thanh toán tiền mặt tự tạo, câu hỏi 8), mỗi test ghi rõ sự phụ thuộc này trong ngoặc, dù nhãn chính có thể khác nhau tùy góc kiểm.</t>
  </si>
  <si>
    <t xml:space="preserve">5. Cột 'Quy tắc/NFR liên quan' dùng mã BR-1..9 (9 quy tắc nghiệp vụ, Mục 7) và NFR-1, NFR-2, NFR-3, NFR-4a, NFR-4b, NFR-5 (Mục 6) - từ bản BA 1.2, đây là MÃ CHÍNH THỨC của BA (trước đó là ký hiệu nội bộ do nhóm test tự đặt). Từ bản 1.2, mọi test đều có ít nhất một mã FR/BR/NFR ở cột 'FR liên quan', không còn dòng nào để '—'. Đối chiếu ở sheet 'Độ phủ FR'. Từ bản 1.3, chính sách hủy chuyến (câu hỏi 4) đã được khách hàng trả lời và đưa vào FR-24, BR-10 — không còn là đề xuất.</t>
  </si>
  <si>
    <t xml:space="preserve">6. NFR Bảo mật tách hai phần: NFR-4a là phần đã chốt ở bản 1.0 (xác thực người dùng cuối, phân quyền quản trị); NFR-4b là đúng 16 test thuộc đề xuất bản 1.1 đang chờ khách hàng xác nhận (câu hỏi 7, Mục 9).</t>
  </si>
  <si>
    <t xml:space="preserve">7. QUAN TRỌNG: bản 1.1 của BA có hai đề xuất đang chờ khách hàng xác nhận (Mục 9, câu hỏi 7 và 8): mở rộng NFR Bảo mật (16 test), và ai xác nhận thu tiền mặt (TC-PAY-01, TC-TRIP-15, TC-PAY-15, TC-NOTI-06 và bước 2 của TC-PAY-13 - 4 test và 1 bước). Chi tiết ở Nhat-Ky-Thay-Doi-BA-CAB-System.docx.</t>
  </si>
  <si>
    <t xml:space="preserve">8. Cột 'Nguồn kịch bản' có mã TS-xxx là mã kịch bản lấy ý tưởng từ file Test-Scenario-CAB-System.xlsx (một bài tập phân tích BA mở rộng riêng, 62 FR, không phải căn cứ của bản triển khai) - chỉ để ghi nhận nguồn ý tưởng.</t>
  </si>
  <si>
    <t xml:space="preserve">9. Độ phủ theo 23 FR, 9 quy tắc nghiệp vụ và 6 mục NFR (tách 4a/4b) của BA xem sheet 'Độ phủ FR'.</t>
  </si>
  <si>
    <t xml:space="preserve">10. Chưa đưa vào 180 test: giả thuyết về độ bền sự kiện FareCalculated khi Payment Service dừng đúng lúc một chuyến khác hoàn thành (nếu bộ nhớ đệm cước chỉ nằm trong tiến trình và bus không lưu lại sự kiện, thanh toán sau khi Payment khởi động lại có thể báo FARE_NOT_AVAILABLE dù chuyến đã hoàn thành). Đây là giả thuyết chưa xác nhận từ mã nguồn, kiểm một thuộc tính khác (độ bền sự kiện) với TC-DISP-18 (cách ly lỗi), nên không gộp chung; cần một test riêng nếu xác nhận là vấn đề thật, hành vi đúng cần kiểm khi đó là: sau khi Payment khởi động lại, thanh toán chuyến vẫn thực hiện được hoặc trả về trạng thái có thể thử lại, không phải FARE_NOT_AVAILABLE. Xác nhận giả thuyết này chỉ cần đọc mã nguồn Payment Service để biết cước đang được lưu trong bộ nhớ tiến trình hay một nơi bền vững hơn, không cần chạy thử - xem ghi chú 3.</t>
  </si>
  <si>
    <t xml:space="preserve">11. Ô 'Dự kiến khi chạy' tô đỏ đậm hơn (khác với FAIL tô đỏ nhạt thông thường) là FAIL đã được xác nhận bằng test Jest thật chạy trên hệ thống, không còn là dự đoán trên giấy — có ghi ngày và đường dẫn file test xác nhận. Tính đến 30/09/2026: 4/36 dòng FAIL đã xác nhận, đều thuộc Trip Service (TC-TRIP-14, 17, 18, 19). Các dòng FAIL còn lại vẫn là dự đoán, chờ chạy test thật ở các service khác.</t>
  </si>
  <si>
    <t xml:space="preserve">12. BA lên bản 1.2 (30/09/2026): thêm FR-24 (khách hàng hủy chuyến khi chưa đón khách - phát hiện khi rà soát cột 'FR liên quan' thấy TC-TRIP-08 không có FR nào dù chức năng đã cài đặt); gắn mã BR-1..9 cho quy tắc nghiệp vụ và NFR-1..NFR-5 (4 tách 4a/4b) cho NFR, để không còn test nào phải để trống cột FR liên quan. TC-TRIP-19 (trước gán tạm FR-03) và TC-DISP-12 (bổ sung FR-24 bên cạnh FR-12) cũng cập nhật theo FR-24. Chi tiết ở Nhat-Ky-Thay-Doi-BA-CAB-System.docx, mục 'Phiên bản 1.1 → 1.2'.</t>
  </si>
  <si>
    <t xml:space="preserve">13. BA lên bản 1.3 (30/09/2026): khách hàng đã trả lời câu hỏi 4 (Mục 9, chính sách hủy chuyến) - chỉ hủy được trước khi tài xế đón khách; sau khi đón, chỉ tài xế kết thúc chuyến sớm được, khách vẫn trả đủ cước theo hành trình ban đầu. FR-24 viết lại theo đúng câu trả lời (không còn là đề xuất chờ duyệt); thêm BR-10 cho quy tắc cước khi kết thúc sớm. TC-TRIP-08 trở lại 'Đúng BA' dứt khoát; TC-TRIP-19, TC-DISP-12 thu hẹp phạm vi 'BA chưa quy định' về đúng phần còn thiếu (cơ chế kỹ thuật thu hồi offer, không còn là chính sách). Nhân tiện: gộp NFR-4a vào FR liên quan của TC-ADM-17 (audit log); đổi toàn bộ 21 dòng còn viết 'NFR Bảo mật'/'quy tắc nghiệp vụ' bằng chữ sang đúng mã NFR-4a/NFR-4b/BR-x. Việc trả lời câu hỏi 4 cũng lộ ra một chức năng chưa có trong 180 test: tài xế kết thúc chuyến sớm (chưa có trạng thái/endpoint) và cách tính cước theo 'hành trình ban đầu' khác với cách tính hiện tại theo hành trình thực tế — xem Nhat-Ky-Thay-Doi-BA-CAB-System.docx, mục 'Phiên bản 1.2 → 1.3'.</t>
  </si>
  <si>
    <t xml:space="preserve">14. BA lên bản 1.4 (30/09/2026): khách hàng xác nhận cước phí luôn được ước tính trước khi chuyến bắt đầu — thêm FR-25 (ước tính cước lúc đặt xe) và BR-10 dẫn chiếu rõ tới FR-25 (thay vì mô tả chung 'hành trình ban đầu'). FR-25 và BR-10 hiện CHƯA có test case nào trong 180 test - đây là scope hoàn toàn mới (POST /trips hiện chưa trả về cước ước tính), khác với các trường hợp trước đó là 'gắn thiếu nhãn cho cái đã có'. Nên gộp việc viết test cho FR-25 với việc viết test cho tài xế kết thúc chuyến sớm (đã nêu ở bản 1.3) vì hai việc liên quan trực tiếp tới nhau. Xem Nhat-Ky-Thay-Doi-BA-CAB-System.docx, mục 'Phiên bản 1.3 → 1.4'.</t>
  </si>
  <si>
    <t xml:space="preserve">15. BA lên bản 1.5 (30/09/2026): đối chiếu 180 test case với bảng chấm thực hành của môn (29 mục) để quyết định hướng phát triển test tiếp theo. Khách hàng xác nhận hủy chuyến bắt buộc có lý do (chọn từ 2 mục: cá nhân/khác) - bổ sung vào FR-24; TC-TRIP-19 và TC-DISP-12 cập nhật theo (kèm lý do khi gọi /cancel). Hai điểm khác không cần sửa BA: đăng ký tài xế qua OTP hay email/mật khẩu vẫn chưa rõ (giữ nguyên hiện trạng); duyệt hồ sơ tài xế xác nhận là tự động, khớp đúng FR-02 hiện tại. QUYẾT ĐỊNH: KHÔNG phát triển test case cho FR-25 (ước tính cước trước chuyến) và cơ chế tài xế kết thúc chuyến sớm (BR-10) vì không nằm trong bảng chấm - hai mục này vẫn giữ trong BA để không mất dấu quyết định, nhưng dừng ở mức tài liệu. Xem Nhat-Ky-Thay-Doi-BA-CAB-System.docx, mục 'Phiên bản 1.4 → 1.5'.</t>
  </si>
  <si>
    <t xml:space="preserve">16. BA lên bản 1.6 (30/09/2026): chốt đăng ký/đăng nhập dùng email và mật khẩu (không OTP) cho phạm vi đồ án, đối chiếu đúng với cab-system-README.md - FR-01, FR-02 ghi rõ cơ chế. Không có test case nào cần sửa (hành vi hiện tại đã đúng theo quyết định này). Từ đây, phát triển test case theo đúng 6 gap thật đối chiếu với bảng chấm thực hành: health check, paging (Location + lịch sử chuyến), XSS, JWT tampering, rate limit, data encryption at rest — xem Nhat-Ky-Thay-Doi-BA-CAB-System.docx.</t>
  </si>
  <si>
    <t xml:space="preserve">17. Thêm nhóm 'API Gateway' và TC-GATE-01 (health check /health, /ready, /health/services - bảng chấm thực hành mục 6). Đây là test đầu tiên trong 6 gap đối chiếu với bảng chấm (ghi chú 15): health check, paging (Location + lịch sử chuyến), XSS, JWT tampering, rate limit, data encryption at rest. TC-GATE-01 đang ở trạng thái 'Cần xác nhận' vì README kỹ thuật chỉ xác nhận có endpoint /health, chưa mô tả hình dạng response của /ready và /health/services - xem testcase/tests/gateway/TC-GATE-01.test.js.</t>
  </si>
  <si>
    <t xml:space="preserve">18. Thêm TC-GATE-02 (JWT tampering - bảng chấm thực hành mục 27): sửa payload giữ chữ ký cũ, và ký lại bằng secret đoán bừa - cả hai đều phải bị từ chối 401. Đã chạy thử qua server giả lập có xác thực JWT thật (không phải mock luôn trả 200), pass cả hai kịch bản - xem testcase/tests/gateway/TC-GATE-02.test.js. Đang 'Cần xác nhận' vì chưa chắc GET /admin/customers là endpoint ops_admin thật trong hệ thống, chỉ là endpoint đại diện.</t>
  </si>
  <si>
    <t xml:space="preserve">19. Thêm TC-GATE-03 (rate limit - bảng chấm thực hành mục 29): spam 100 request song song vào POST /trips, kỳ vọng có 429 và hệ thống không sập. Đã kiểm chứng test tự nó đúng qua 2 server giả lập: có cấu hình rate limit thì pass, không có thì fail đúng dòng cần kiểm - test đáng tin cậy. Đang 'Cần xác nhận' vì chưa biết hệ thống thật có middleware rate limit hay chưa (README không nhắc tới) - xem testcase/tests/gateway/TC-GATE-03.test.js.</t>
  </si>
  <si>
    <t xml:space="preserve">20. Thêm TC-TRIP-21 (XSS - bảng chấm thực hành mục 26): gửi &lt;script&gt;alert('hack')&lt;/script&gt; vào comment đánh giá, kiểm tra không còn nguyên script chưa escape khi đọc lại qua GET /drivers/{id}/ratings. Đã kiểm chứng test tự nó đúng qua server giả lập (fail khi không escape, pass khi có escape). Đây là test thứ 21 của Trip Service, vượt mốc 20 vì bảng chấm thực hành là căn cứ mới phát sinh sau khi đã chốt mốc 20/service ban đầu (xem ghi chú 2) - xem testcase/tests/trip/TC-TRIP-21.test.js.</t>
  </si>
  <si>
    <t xml:space="preserve">21. Thêm TC-LOC-21 (paging danh sách tài xế - mục 13 bảng chấm) và TC-TRIP-22 (paging lịch sử chuyến - mục 14 bảng chấm). Cả hai đã kiểm chứng đúng hai chiều qua server giả lập (fail khi không phân trang, pass khi có) - xem testcase/tests/location/TC-LOC-21.test.js và testcase/tests/trip/TC-TRIP-22.test.js. Đến đây đã hoàn thành đủ 6/6 gap đối chiếu với bảng chấm thực hành (ghi chú 15): health check, JWT tampering, rate limit, XSS, paging Location, paging Trip. Còn lại data encryption at rest (mục 24, cần quyền đọc thẳng DB trong test) chưa làm - để lại nếu cần, không thuộc nhóm 6 gap ưu tiên ban đầu.</t>
  </si>
  <si>
    <t xml:space="preserve">22. Thêm TC-CUST-21 (data encryption at rest - mục 24 bảng chấm, gap cuối cùng trong 7 gap). Khác các gap trước: đọc THẲNG file dữ liệu Customer Service trên đĩa, không qua Gateway. Đây là gap có độ chắc chắn THẤP NHẤT trong toàn bộ 187 dòng - không có căn cứ nào xác nhận tên/đường dẫn file thật (README chỉ nói chung 'data/*.json'). Test tự dò 3 dạng cấu trúc phổ biến và báo lỗi rõ ràng nếu đoán sai, thay vì lỗi khó hiểu; đã kiểm chứng logic đúng hai chiều qua server giả lập có cấu trúc thư mục thật. Cần chạy trên máy thật để biết chính xác có cần sửa đường dẫn hay không - xem testcase/tests/customer/TC-CUST-21.test.js. Đến đây đã hoàn thành đủ 7/7 gap đối chiếu với bảng chấm thực hành.</t>
  </si>
  <si>
    <t xml:space="preserve">23. Chạy thật lần đầu (01/10/2026) 7 gap mới: 5 FAIL xác nhận đúng dự đoán (TC-GATE-01b /ready 404, TC-GATE-03 rate limit 0/100, TC-TRIP-21 XSS không escape, TC-LOC-21 và TC-TRIP-22 không phân trang); 1 PASS xác nhận (TC-GATE-02 JWT tampering bị chặn đúng); TC-CUST-21 chưa có kết quả (chưa chạy hoặc chưa copy vào máy). TC-GATE-01 tách thành 3 test con (01a/01b/01c) vì bản gộp ban đầu bị che kết quả 01c khi 01b fail trước - rút kinh nghiệm từ chính lỗi TC-DISP-18 trước đây. 5 gap FAIL xác nhận là gap thật của hệ thống, không phải lỗi viết test - đổi nhãn 'Đối chiếu với BA' từ 'Chưa xác định' sang 'BA chưa quy định' vì BA chưa bao giờ yêu cầu các mục này (health /ready, rate limit, XSS escape, phân trang là yêu cầu riêng của bảng chấm thực hành, không phải khoảng trống BA cần hỏi khách hàng).</t>
  </si>
  <si>
    <t xml:space="preserve">24. Chạy lại TC-CUST-21 và TC-GATE-01 (đã tách 3 test con) ngày 01/10/2026: TC-GATE-01 rõ hoàn toàn: 01a PASS (/health), 01b FAIL (/ready - 404), 01c FAIL (/health/services - 404) - cả /ready lẫn /health/services đều chưa được cài đặt ở Gateway, chỉ có /health hoạt động. TC-CUST-21 chưa có kết quả vì file chưa được copy vào tests/customer/ trên máy thật - cần chạy lại sau khi copy.</t>
  </si>
  <si>
    <t xml:space="preserve">Độ phủ BA (bản 1.4) bởi 180 test case trong file này</t>
  </si>
  <si>
    <t xml:space="preserve">Số test tính bằng công thức: FR/BR/NFR từ cột 'FR liên quan', bổ sung từ cột 'Quy tắc/NFR liên quan' của sheet Test Scenarios. FR-25 và BR-10 là yêu cầu mới ở bản 1.3-1.4, hiện CHƯA có test case nào (scope mới, chưa triển khai ở bản code) — đây là khoảng trống thật, không phải thiếu sót khi gắn nhãn.</t>
  </si>
  <si>
    <t xml:space="preserve">Số FR có ít nhất 1 test</t>
  </si>
  <si>
    <t xml:space="preserve">Số FR chưa có test</t>
  </si>
  <si>
    <t xml:space="preserve">Tổng số FR</t>
  </si>
  <si>
    <t xml:space="preserve">Số quy tắc/NFR có ít nhất 1 test (trong 16 mục)</t>
  </si>
  <si>
    <t xml:space="preserve">Số quy tắc/NFR chưa có test</t>
  </si>
  <si>
    <t xml:space="preserve">1) 25 yêu cầu chức năng (FR) - Mục 5</t>
  </si>
  <si>
    <t xml:space="preserve">FR</t>
  </si>
  <si>
    <t xml:space="preserve">Nội dung</t>
  </si>
  <si>
    <t xml:space="preserve">Số test</t>
  </si>
  <si>
    <t xml:space="preserve">Trạng thái</t>
  </si>
  <si>
    <t xml:space="preserve">Khách hàng đăng ký, đăng nhập, cập nhật thông tin cá nhân</t>
  </si>
  <si>
    <t xml:space="preserve">Tài xế đăng ký hoặc được nhân viên vận hành tạo tài khoản; cập nhật hồ sơ, thông tin phương tiện, trạng thái hoạt động</t>
  </si>
  <si>
    <t xml:space="preserve">Khách hàng nhập điểm đón/đến, chọn loại xe, gửi yêu cầu đặt xe</t>
  </si>
  <si>
    <t xml:space="preserve">Khách hàng theo dõi trạng thái chuyến theo thời gian thực</t>
  </si>
  <si>
    <t xml:space="preserve">Khách hàng xem lịch sử chuyến, số tiền phải trả, đánh giá tài xế sau khi hoàn thành</t>
  </si>
  <si>
    <t xml:space="preserve">Xác định tài xế phù hợp dựa trên vị trí, trạng thái sẵn sàng và tiêu chí vận hành</t>
  </si>
  <si>
    <t xml:space="preserve">Ưu tiên tài xế phù hợp và gần khách hàng nhất</t>
  </si>
  <si>
    <t xml:space="preserve">Tự động chuyển sang tài xế kế tiếp khi tài xế được đề xuất không phản hồi hoặc từ chối</t>
  </si>
  <si>
    <t xml:space="preserve">Thông báo rõ ràng cho khách hàng khi không tìm được tài xế phù hợp</t>
  </si>
  <si>
    <t xml:space="preserve">Ghi nhận và cập nhật vị trí tài xế theo thời gian thực</t>
  </si>
  <si>
    <t xml:space="preserve">Tài xế chuyển trạng thái sẵn sàng nhận chuyến khi đang làm việc</t>
  </si>
  <si>
    <t xml:space="preserve">Tài xế nhận thông báo chuyến phù hợp và chấp nhận/từ chối</t>
  </si>
  <si>
    <t xml:space="preserve">Tài xế cập nhật trạng thái chuyến: đến điểm đón, đón khách, đang di chuyển, hoàn thành</t>
  </si>
  <si>
    <t xml:space="preserve">Tính số tiền khách hàng phải trả dựa trên loại dịch vụ và thông tin chuyến, sau khi chuyến hoàn thành</t>
  </si>
  <si>
    <t xml:space="preserve">FR-25</t>
  </si>
  <si>
    <t xml:space="preserve">Hệ thống ước tính cước phí dựa trên điểm đón, điểm đến và loại xe ngay khi khách hàng gửi yêu cầu đặt xe, trước khi chuyến đi bắt đầu</t>
  </si>
  <si>
    <t xml:space="preserve">Hỗ trợ thanh toán tiền mặt và điện tử qua đối tác thanh toán ngoài; không lưu thông tin nhạy cảm</t>
  </si>
  <si>
    <t xml:space="preserve">Thông báo và cho phép xử lý lại khi giao dịch điện tử thất bại</t>
  </si>
  <si>
    <t xml:space="preserve">Thông báo khách hàng tại các mốc: tiếp nhận yêu cầu, tài xế nhận chuyến, tài xế đến điểm đón, hoàn thành chuyến, kết quả thanh toán</t>
  </si>
  <si>
    <t xml:space="preserve">Thông báo tài xế về chuyến mới hoặc thay đổi liên quan đến chuyến đang thực hiện</t>
  </si>
  <si>
    <t xml:space="preserve">Kiến trúc thông báo cho phép mở rộng thêm kênh mới</t>
  </si>
  <si>
    <t xml:space="preserve">Giao diện quản trị quản lý khách hàng, tài xế, phương tiện, chuyến đi</t>
  </si>
  <si>
    <t xml:space="preserve">Xem chuyến đang diễn ra, kiểm tra trạng thái tài xế, xử lý chuyến gặp sự cố, tra cứu lịch sử giao dịch</t>
  </si>
  <si>
    <t xml:space="preserve">Phân quyền cho các chức năng quản trị nhạy cảm</t>
  </si>
  <si>
    <t xml:space="preserve">Báo cáo số lượng chuyến, doanh thu, tỷ lệ hoàn thành, tỷ lệ hủy, hiệu quả hoạt động của tài xế</t>
  </si>
  <si>
    <t xml:space="preserve">Khách hàng hủy yêu cầu đặt xe hoặc chuyến đi khi chưa đón khách (trước trạng thái picked_up)</t>
  </si>
  <si>
    <t xml:space="preserve">2) 10 quy tắc nghiệp vụ (Mục 7) - mã BR-1..10</t>
  </si>
  <si>
    <t xml:space="preserve">BR</t>
  </si>
  <si>
    <t xml:space="preserve">Tài xế chỉ nhận yêu cầu ghép chuyến khi đang ở trạng thái sẵn sàng nhận chuyến</t>
  </si>
  <si>
    <t xml:space="preserve">Ưu tiên tài xế dựa trên mức độ phù hợp và khoảng cách gần khách hàng</t>
  </si>
  <si>
    <t xml:space="preserve">Không phản hồi/từ chối thì tự động chuyển tài xế kế tiếp, không cần khách tạo lại yêu cầu</t>
  </si>
  <si>
    <t xml:space="preserve">BR-4</t>
  </si>
  <si>
    <t xml:space="preserve">Không tìm được tài xế phù hợp thì khách phải được thông báo rõ ràng</t>
  </si>
  <si>
    <t xml:space="preserve">Cước phí chỉ được tính sau khi chuyến đi hoàn thành</t>
  </si>
  <si>
    <t xml:space="preserve">Thông tin thẻ/tài khoản thanh toán nhạy cảm không lưu trực tiếp, xử lý qua đối tác ngoài</t>
  </si>
  <si>
    <t xml:space="preserve">Giao dịch điện tử thất bại phải thông báo khách hàng và có thể xử lý lại</t>
  </si>
  <si>
    <t xml:space="preserve">Một số chức năng quản trị chỉ dành cho nhân viên được phân quyền</t>
  </si>
  <si>
    <t xml:space="preserve">Mọi thao tác quan trọng phải được lưu vết (audit log)</t>
  </si>
  <si>
    <t xml:space="preserve">BR-10</t>
  </si>
  <si>
    <t xml:space="preserve">Chuyến kết thúc sớm hơn dự kiến vẫn tính đủ cước theo cước ước tính lúc đặt xe (FR-25)</t>
  </si>
  <si>
    <t xml:space="preserve">3) NFR (Mục 6) - mã NFR-1, NFR-2, NFR-3, NFR-4a, NFR-4b, NFR-5</t>
  </si>
  <si>
    <t xml:space="preserve">NFR</t>
  </si>
  <si>
    <t xml:space="preserve">Tính sẵn sàng / Ổn định - lỗi thanh toán hoặc thông báo không được làm hệ thống đặt xe ngừng hoạt động</t>
  </si>
  <si>
    <t xml:space="preserve">Khả năng mở rộng (Scalability)</t>
  </si>
  <si>
    <t xml:space="preserve">Khả năng triển khai (Deployability)</t>
  </si>
  <si>
    <t xml:space="preserve">Bảo mật (Security) - đã chốt ở bản 1.0</t>
  </si>
  <si>
    <t xml:space="preserve">Bảo mật (Security) - đề xuất ở bản 1.1, chờ khách hàng xác nhận</t>
  </si>
  <si>
    <t xml:space="preserve">Khả năng mở rộng nghiệp vụ (Extensibility)</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</si>
</sst>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0"/>
      <name val="Calibri"/>
      <family val="0"/>
      <charset val="1"/>
    </font>
    <font>
      <sz val="10"/>
      <name val="Calibri"/>
      <family val="0"/>
      <charset val="1"/>
    </font>
    <font>
      <sz val="11"/>
      <name val="Calibri"/>
      <family val="0"/>
      <charset val="1"/>
    </font>
    <font>
      <b val="true"/>
      <sz val="11"/>
      <name val="Calibri"/>
      <family val="0"/>
      <charset val="1"/>
    </font>
    <font>
      <b val="true"/>
      <sz val="14"/>
      <name val="Calibri"/>
      <family val="0"/>
      <charset val="1"/>
    </font>
    <font>
      <sz val="9"/>
      <name val="Calibri"/>
      <family val="0"/>
      <charset val="1"/>
    </font>
    <font>
      <b val="true"/>
      <sz val="12"/>
      <name val="Calibri"/>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E7F3E8"/>
      </patternFill>
    </fill>
    <fill>
      <patternFill patternType="solid">
        <fgColor rgb="FFE7F3E8"/>
        <bgColor rgb="FFE2EFDA"/>
      </patternFill>
    </fill>
    <fill>
      <patternFill patternType="solid">
        <fgColor rgb="FFFBE7E7"/>
        <bgColor rgb="FFF2F2F2"/>
      </patternFill>
    </fill>
    <fill>
      <patternFill patternType="solid">
        <fgColor rgb="FFFFF3CD"/>
        <bgColor rgb="FFFBE7E7"/>
      </patternFill>
    </fill>
    <fill>
      <patternFill patternType="solid">
        <fgColor rgb="FFE2EFDA"/>
        <bgColor rgb="FFE7F3E8"/>
      </patternFill>
    </fill>
    <fill>
      <patternFill patternType="solid">
        <fgColor rgb="FFF4A9A9"/>
        <bgColor rgb="FFFFCC99"/>
      </patternFill>
    </fill>
    <fill>
      <patternFill patternType="solid">
        <fgColor rgb="FFC6E8C6"/>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E7F3E8"/>
          <bgColor rgb="FF000000"/>
        </patternFill>
      </fill>
    </dxf>
    <dxf>
      <fill>
        <patternFill patternType="solid">
          <fgColor rgb="FFFBE7E7"/>
          <bgColor rgb="FF000000"/>
        </patternFill>
      </fill>
    </dxf>
    <dxf>
      <fill>
        <patternFill patternType="solid">
          <fgColor rgb="FFC6E8C6"/>
          <bgColor rgb="FF000000"/>
        </patternFill>
      </fill>
    </dxf>
    <dxf>
      <fill>
        <patternFill patternType="solid">
          <fgColor rgb="FFF4A9A9"/>
          <bgColor rgb="FF000000"/>
        </patternFill>
      </fill>
    </dxf>
    <dxf>
      <fill>
        <patternFill patternType="solid">
          <fgColor rgb="FFFFF3CD"/>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CD"/>
      <rgbColor rgb="FFE7F3E8"/>
      <rgbColor rgb="FF660066"/>
      <rgbColor rgb="FFFF8080"/>
      <rgbColor rgb="FF0066CC"/>
      <rgbColor rgb="FFC6E8C6"/>
      <rgbColor rgb="FF000080"/>
      <rgbColor rgb="FFFF00FF"/>
      <rgbColor rgb="FFFFFF00"/>
      <rgbColor rgb="FF00FFFF"/>
      <rgbColor rgb="FF800080"/>
      <rgbColor rgb="FF800000"/>
      <rgbColor rgb="FF008080"/>
      <rgbColor rgb="FF0000FF"/>
      <rgbColor rgb="FF00CCFF"/>
      <rgbColor rgb="FFF2F2F2"/>
      <rgbColor rgb="FFE2EFDA"/>
      <rgbColor rgb="FFFBE7E7"/>
      <rgbColor rgb="FF99CCFF"/>
      <rgbColor rgb="FFF4A9A9"/>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2"/>
    <col collapsed="false" customWidth="true" hidden="false" outlineLevel="0" max="4" min="4" style="1" width="22"/>
    <col collapsed="false" customWidth="true" hidden="false" outlineLevel="0" max="5" min="5" style="1" width="10"/>
    <col collapsed="false" customWidth="true" hidden="false" outlineLevel="0" max="6" min="6" style="1" width="30"/>
    <col collapsed="false" customWidth="true" hidden="false" outlineLevel="0" max="7" min="7" style="1" width="26"/>
    <col collapsed="false" customWidth="true" hidden="false" outlineLevel="0" max="8" min="8" style="1" width="32"/>
    <col collapsed="false" customWidth="true" hidden="false" outlineLevel="0" max="9" min="9" style="1" width="20"/>
    <col collapsed="false" customWidth="true" hidden="false" outlineLevel="0" max="10" min="10" style="1" width="32"/>
    <col collapsed="false" customWidth="true" hidden="false" outlineLevel="0" max="11" min="11" style="1" width="10"/>
    <col collapsed="false" customWidth="true" hidden="false" outlineLevel="0" max="12" min="12" style="1" width="13"/>
    <col collapsed="false" customWidth="true" hidden="false" outlineLevel="0" max="14" min="13" style="1" width="18"/>
    <col collapsed="false" customWidth="true" hidden="false" outlineLevel="0" max="16" min="15" style="1" width="32"/>
    <col collapsed="false" customWidth="true" hidden="false" outlineLevel="0" max="17" min="17" style="1" width="8.43"/>
  </cols>
  <sheetData>
    <row r="1" customFormat="false" ht="2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34.5" hidden="false" customHeight="true" outlineLevel="0" collapsed="false">
      <c r="A2" s="3" t="s">
        <v>15</v>
      </c>
      <c r="B2" s="4" t="s">
        <v>16</v>
      </c>
      <c r="C2" s="4" t="s">
        <v>17</v>
      </c>
      <c r="D2" s="4" t="s">
        <v>18</v>
      </c>
      <c r="E2" s="5" t="s">
        <v>19</v>
      </c>
      <c r="F2" s="6" t="s">
        <v>20</v>
      </c>
      <c r="G2" s="6" t="s">
        <v>21</v>
      </c>
      <c r="H2" s="6" t="s">
        <v>22</v>
      </c>
      <c r="I2" s="6" t="s">
        <v>23</v>
      </c>
      <c r="J2" s="6" t="s">
        <v>24</v>
      </c>
      <c r="K2" s="4" t="s">
        <v>25</v>
      </c>
      <c r="L2" s="6" t="s">
        <v>26</v>
      </c>
      <c r="M2" s="6" t="s">
        <v>27</v>
      </c>
      <c r="N2" s="6" t="s">
        <v>28</v>
      </c>
      <c r="O2" s="6" t="s">
        <v>29</v>
      </c>
    </row>
    <row r="3" customFormat="false" ht="23.25" hidden="false" customHeight="true" outlineLevel="0" collapsed="false">
      <c r="A3" s="3" t="s">
        <v>15</v>
      </c>
      <c r="B3" s="6" t="s">
        <v>30</v>
      </c>
      <c r="C3" s="6" t="s">
        <v>17</v>
      </c>
      <c r="D3" s="6" t="s">
        <v>18</v>
      </c>
      <c r="E3" s="7" t="s">
        <v>31</v>
      </c>
      <c r="F3" s="6" t="s">
        <v>32</v>
      </c>
      <c r="G3" s="6" t="s">
        <v>33</v>
      </c>
      <c r="H3" s="6" t="s">
        <v>34</v>
      </c>
      <c r="I3" s="6" t="s">
        <v>35</v>
      </c>
      <c r="J3" s="6" t="s">
        <v>36</v>
      </c>
      <c r="K3" s="6" t="s">
        <v>25</v>
      </c>
      <c r="L3" s="6" t="s">
        <v>26</v>
      </c>
      <c r="M3" s="6" t="s">
        <v>27</v>
      </c>
      <c r="N3" s="6" t="s">
        <v>28</v>
      </c>
      <c r="O3" s="6" t="s">
        <v>29</v>
      </c>
    </row>
    <row r="4" customFormat="false" ht="23.25" hidden="false" customHeight="true" outlineLevel="0" collapsed="false">
      <c r="A4" s="3" t="s">
        <v>15</v>
      </c>
      <c r="B4" s="4" t="s">
        <v>37</v>
      </c>
      <c r="C4" s="4" t="s">
        <v>17</v>
      </c>
      <c r="D4" s="4" t="s">
        <v>18</v>
      </c>
      <c r="E4" s="7" t="s">
        <v>31</v>
      </c>
      <c r="F4" s="6" t="s">
        <v>38</v>
      </c>
      <c r="G4" s="6" t="s">
        <v>39</v>
      </c>
      <c r="H4" s="6" t="s">
        <v>40</v>
      </c>
      <c r="I4" s="6" t="s">
        <v>41</v>
      </c>
      <c r="J4" s="6" t="s">
        <v>42</v>
      </c>
      <c r="K4" s="4" t="s">
        <v>43</v>
      </c>
      <c r="L4" s="6" t="s">
        <v>26</v>
      </c>
      <c r="M4" s="6" t="s">
        <v>27</v>
      </c>
      <c r="N4" s="6" t="s">
        <v>28</v>
      </c>
      <c r="O4" s="6" t="s">
        <v>29</v>
      </c>
    </row>
    <row r="5" customFormat="false" ht="23.25" hidden="false" customHeight="true" outlineLevel="0" collapsed="false">
      <c r="A5" s="3" t="s">
        <v>15</v>
      </c>
      <c r="B5" s="6" t="s">
        <v>44</v>
      </c>
      <c r="C5" s="6" t="s">
        <v>17</v>
      </c>
      <c r="D5" s="6" t="s">
        <v>18</v>
      </c>
      <c r="E5" s="5" t="s">
        <v>19</v>
      </c>
      <c r="F5" s="6" t="s">
        <v>45</v>
      </c>
      <c r="G5" s="6" t="s">
        <v>46</v>
      </c>
      <c r="H5" s="6" t="s">
        <v>47</v>
      </c>
      <c r="I5" s="6" t="s">
        <v>48</v>
      </c>
      <c r="J5" s="6" t="s">
        <v>49</v>
      </c>
      <c r="K5" s="6" t="s">
        <v>25</v>
      </c>
      <c r="L5" s="6" t="s">
        <v>26</v>
      </c>
      <c r="M5" s="6" t="s">
        <v>27</v>
      </c>
      <c r="N5" s="6" t="s">
        <v>28</v>
      </c>
      <c r="O5" s="6" t="s">
        <v>29</v>
      </c>
    </row>
    <row r="6" customFormat="false" ht="23.25" hidden="false" customHeight="true" outlineLevel="0" collapsed="false">
      <c r="A6" s="3" t="s">
        <v>15</v>
      </c>
      <c r="B6" s="4" t="s">
        <v>50</v>
      </c>
      <c r="C6" s="4" t="s">
        <v>17</v>
      </c>
      <c r="D6" s="4" t="s">
        <v>51</v>
      </c>
      <c r="E6" s="7" t="s">
        <v>31</v>
      </c>
      <c r="F6" s="6" t="s">
        <v>52</v>
      </c>
      <c r="G6" s="6" t="s">
        <v>53</v>
      </c>
      <c r="H6" s="6" t="s">
        <v>54</v>
      </c>
      <c r="I6" s="6" t="s">
        <v>55</v>
      </c>
      <c r="J6" s="6" t="s">
        <v>56</v>
      </c>
      <c r="K6" s="4" t="s">
        <v>25</v>
      </c>
      <c r="L6" s="6" t="s">
        <v>26</v>
      </c>
      <c r="M6" s="6" t="s">
        <v>27</v>
      </c>
      <c r="N6" s="6" t="s">
        <v>28</v>
      </c>
      <c r="O6" s="6" t="s">
        <v>29</v>
      </c>
    </row>
    <row r="7" customFormat="false" ht="23.25" hidden="false" customHeight="true" outlineLevel="0" collapsed="false">
      <c r="A7" s="3" t="s">
        <v>15</v>
      </c>
      <c r="B7" s="6" t="s">
        <v>57</v>
      </c>
      <c r="C7" s="6" t="s">
        <v>58</v>
      </c>
      <c r="D7" s="6" t="s">
        <v>51</v>
      </c>
      <c r="E7" s="7" t="s">
        <v>31</v>
      </c>
      <c r="F7" s="6" t="s">
        <v>59</v>
      </c>
      <c r="G7" s="6" t="s">
        <v>60</v>
      </c>
      <c r="H7" s="6" t="s">
        <v>61</v>
      </c>
      <c r="I7" s="6" t="s">
        <v>62</v>
      </c>
      <c r="J7" s="6" t="s">
        <v>63</v>
      </c>
      <c r="K7" s="6" t="s">
        <v>43</v>
      </c>
      <c r="L7" s="6" t="s">
        <v>26</v>
      </c>
      <c r="M7" s="6" t="s">
        <v>27</v>
      </c>
      <c r="N7" s="6" t="s">
        <v>28</v>
      </c>
      <c r="O7" s="6" t="s">
        <v>29</v>
      </c>
    </row>
    <row r="8" customFormat="false" ht="23.25" hidden="false" customHeight="true" outlineLevel="0" collapsed="false">
      <c r="A8" s="3" t="s">
        <v>15</v>
      </c>
      <c r="B8" s="4" t="s">
        <v>64</v>
      </c>
      <c r="C8" s="4" t="s">
        <v>17</v>
      </c>
      <c r="D8" s="4" t="s">
        <v>51</v>
      </c>
      <c r="E8" s="7" t="s">
        <v>31</v>
      </c>
      <c r="F8" s="6" t="s">
        <v>65</v>
      </c>
      <c r="G8" s="6" t="s">
        <v>39</v>
      </c>
      <c r="H8" s="6" t="s">
        <v>66</v>
      </c>
      <c r="I8" s="6" t="s">
        <v>67</v>
      </c>
      <c r="J8" s="6" t="s">
        <v>68</v>
      </c>
      <c r="K8" s="4" t="s">
        <v>25</v>
      </c>
      <c r="L8" s="6" t="s">
        <v>69</v>
      </c>
      <c r="M8" s="6" t="s">
        <v>27</v>
      </c>
      <c r="N8" s="6" t="s">
        <v>28</v>
      </c>
      <c r="O8" s="6" t="s">
        <v>29</v>
      </c>
    </row>
    <row r="9" customFormat="false" ht="23.25" hidden="false" customHeight="true" outlineLevel="0" collapsed="false">
      <c r="A9" s="3" t="s">
        <v>15</v>
      </c>
      <c r="B9" s="6" t="s">
        <v>70</v>
      </c>
      <c r="C9" s="6" t="s">
        <v>17</v>
      </c>
      <c r="D9" s="6" t="s">
        <v>18</v>
      </c>
      <c r="E9" s="5" t="s">
        <v>19</v>
      </c>
      <c r="F9" s="6" t="s">
        <v>71</v>
      </c>
      <c r="G9" s="6" t="s">
        <v>72</v>
      </c>
      <c r="H9" s="6" t="s">
        <v>73</v>
      </c>
      <c r="I9" s="6" t="s">
        <v>74</v>
      </c>
      <c r="J9" s="6" t="s">
        <v>75</v>
      </c>
      <c r="K9" s="6" t="s">
        <v>43</v>
      </c>
      <c r="L9" s="6" t="s">
        <v>26</v>
      </c>
      <c r="M9" s="6" t="s">
        <v>27</v>
      </c>
      <c r="N9" s="6" t="s">
        <v>28</v>
      </c>
      <c r="O9" s="6" t="s">
        <v>29</v>
      </c>
    </row>
    <row r="10" customFormat="false" ht="23.25" hidden="false" customHeight="true" outlineLevel="0" collapsed="false">
      <c r="A10" s="3" t="s">
        <v>15</v>
      </c>
      <c r="B10" s="4" t="s">
        <v>76</v>
      </c>
      <c r="C10" s="4" t="s">
        <v>77</v>
      </c>
      <c r="D10" s="4" t="s">
        <v>51</v>
      </c>
      <c r="E10" s="7" t="s">
        <v>31</v>
      </c>
      <c r="F10" s="6" t="s">
        <v>78</v>
      </c>
      <c r="G10" s="6" t="s">
        <v>79</v>
      </c>
      <c r="H10" s="6" t="s">
        <v>80</v>
      </c>
      <c r="I10" s="6" t="s">
        <v>81</v>
      </c>
      <c r="J10" s="6" t="s">
        <v>82</v>
      </c>
      <c r="K10" s="4" t="s">
        <v>43</v>
      </c>
      <c r="L10" s="6" t="s">
        <v>69</v>
      </c>
      <c r="M10" s="6" t="s">
        <v>27</v>
      </c>
      <c r="N10" s="6" t="s">
        <v>28</v>
      </c>
      <c r="O10" s="6" t="s">
        <v>29</v>
      </c>
    </row>
    <row r="11" customFormat="false" ht="23.25" hidden="false" customHeight="true" outlineLevel="0" collapsed="false">
      <c r="A11" s="3" t="s">
        <v>15</v>
      </c>
      <c r="B11" s="6" t="s">
        <v>83</v>
      </c>
      <c r="C11" s="6" t="s">
        <v>77</v>
      </c>
      <c r="D11" s="6" t="s">
        <v>18</v>
      </c>
      <c r="E11" s="5" t="s">
        <v>19</v>
      </c>
      <c r="F11" s="6" t="s">
        <v>84</v>
      </c>
      <c r="G11" s="6" t="s">
        <v>85</v>
      </c>
      <c r="H11" s="6" t="s">
        <v>86</v>
      </c>
      <c r="I11" s="6" t="s">
        <v>87</v>
      </c>
      <c r="J11" s="6" t="s">
        <v>88</v>
      </c>
      <c r="K11" s="6" t="s">
        <v>43</v>
      </c>
      <c r="L11" s="6" t="s">
        <v>26</v>
      </c>
      <c r="M11" s="6" t="s">
        <v>27</v>
      </c>
      <c r="N11" s="6" t="s">
        <v>28</v>
      </c>
      <c r="O11" s="6" t="s">
        <v>29</v>
      </c>
    </row>
    <row r="12" customFormat="false" ht="34.5" hidden="false" customHeight="true" outlineLevel="0" collapsed="false">
      <c r="A12" s="3" t="s">
        <v>15</v>
      </c>
      <c r="B12" s="4" t="s">
        <v>89</v>
      </c>
      <c r="C12" s="4" t="s">
        <v>58</v>
      </c>
      <c r="D12" s="4" t="s">
        <v>90</v>
      </c>
      <c r="E12" s="7" t="s">
        <v>31</v>
      </c>
      <c r="F12" s="6" t="s">
        <v>91</v>
      </c>
      <c r="G12" s="6" t="s">
        <v>92</v>
      </c>
      <c r="H12" s="6" t="s">
        <v>93</v>
      </c>
      <c r="I12" s="6" t="s">
        <v>94</v>
      </c>
      <c r="J12" s="6" t="s">
        <v>95</v>
      </c>
      <c r="K12" s="4" t="s">
        <v>25</v>
      </c>
      <c r="L12" s="6" t="s">
        <v>69</v>
      </c>
      <c r="M12" s="6" t="s">
        <v>96</v>
      </c>
      <c r="N12" s="6" t="s">
        <v>97</v>
      </c>
      <c r="O12" s="6" t="s">
        <v>29</v>
      </c>
    </row>
    <row r="13" customFormat="false" ht="34.5" hidden="false" customHeight="true" outlineLevel="0" collapsed="false">
      <c r="A13" s="3" t="s">
        <v>15</v>
      </c>
      <c r="B13" s="6" t="s">
        <v>98</v>
      </c>
      <c r="C13" s="6" t="s">
        <v>17</v>
      </c>
      <c r="D13" s="6" t="s">
        <v>18</v>
      </c>
      <c r="E13" s="7" t="s">
        <v>31</v>
      </c>
      <c r="F13" s="6" t="s">
        <v>99</v>
      </c>
      <c r="G13" s="6" t="s">
        <v>39</v>
      </c>
      <c r="H13" s="6" t="s">
        <v>100</v>
      </c>
      <c r="I13" s="6" t="s">
        <v>101</v>
      </c>
      <c r="J13" s="6" t="s">
        <v>102</v>
      </c>
      <c r="K13" s="6" t="s">
        <v>43</v>
      </c>
      <c r="L13" s="6" t="s">
        <v>26</v>
      </c>
      <c r="M13" s="6" t="s">
        <v>103</v>
      </c>
      <c r="N13" s="6" t="s">
        <v>97</v>
      </c>
      <c r="O13" s="6" t="s">
        <v>29</v>
      </c>
    </row>
    <row r="14" customFormat="false" ht="79.5" hidden="false" customHeight="true" outlineLevel="0" collapsed="false">
      <c r="A14" s="3" t="s">
        <v>15</v>
      </c>
      <c r="B14" s="4" t="s">
        <v>104</v>
      </c>
      <c r="C14" s="4" t="s">
        <v>17</v>
      </c>
      <c r="D14" s="4" t="s">
        <v>105</v>
      </c>
      <c r="E14" s="7" t="s">
        <v>31</v>
      </c>
      <c r="F14" s="6" t="s">
        <v>106</v>
      </c>
      <c r="G14" s="6" t="s">
        <v>107</v>
      </c>
      <c r="H14" s="6" t="s">
        <v>108</v>
      </c>
      <c r="I14" s="6" t="s">
        <v>109</v>
      </c>
      <c r="J14" s="6" t="s">
        <v>110</v>
      </c>
      <c r="K14" s="4" t="s">
        <v>25</v>
      </c>
      <c r="L14" s="6" t="s">
        <v>69</v>
      </c>
      <c r="M14" s="6" t="s">
        <v>111</v>
      </c>
      <c r="N14" s="7" t="s">
        <v>112</v>
      </c>
      <c r="O14" s="7" t="s">
        <v>113</v>
      </c>
    </row>
    <row r="15" customFormat="false" ht="23.25" hidden="false" customHeight="true" outlineLevel="0" collapsed="false">
      <c r="A15" s="3" t="s">
        <v>15</v>
      </c>
      <c r="B15" s="6" t="s">
        <v>114</v>
      </c>
      <c r="C15" s="6" t="s">
        <v>17</v>
      </c>
      <c r="D15" s="6" t="s">
        <v>18</v>
      </c>
      <c r="E15" s="7" t="s">
        <v>31</v>
      </c>
      <c r="F15" s="6" t="s">
        <v>115</v>
      </c>
      <c r="G15" s="6" t="s">
        <v>116</v>
      </c>
      <c r="H15" s="6" t="s">
        <v>117</v>
      </c>
      <c r="I15" s="6" t="s">
        <v>118</v>
      </c>
      <c r="J15" s="6" t="s">
        <v>119</v>
      </c>
      <c r="K15" s="6" t="s">
        <v>43</v>
      </c>
      <c r="L15" s="6" t="s">
        <v>120</v>
      </c>
      <c r="M15" s="6" t="s">
        <v>121</v>
      </c>
      <c r="N15" s="7" t="s">
        <v>122</v>
      </c>
      <c r="O15" s="8" t="s">
        <v>123</v>
      </c>
    </row>
    <row r="16" customFormat="false" ht="34.5" hidden="false" customHeight="true" outlineLevel="0" collapsed="false">
      <c r="A16" s="3" t="s">
        <v>15</v>
      </c>
      <c r="B16" s="4" t="s">
        <v>124</v>
      </c>
      <c r="C16" s="4" t="s">
        <v>17</v>
      </c>
      <c r="D16" s="4" t="s">
        <v>18</v>
      </c>
      <c r="E16" s="5" t="s">
        <v>19</v>
      </c>
      <c r="F16" s="6" t="s">
        <v>125</v>
      </c>
      <c r="G16" s="6" t="s">
        <v>126</v>
      </c>
      <c r="H16" s="6" t="s">
        <v>127</v>
      </c>
      <c r="I16" s="6" t="s">
        <v>128</v>
      </c>
      <c r="J16" s="6" t="s">
        <v>129</v>
      </c>
      <c r="K16" s="4" t="s">
        <v>25</v>
      </c>
      <c r="L16" s="6" t="s">
        <v>69</v>
      </c>
      <c r="M16" s="6" t="s">
        <v>130</v>
      </c>
      <c r="N16" s="6" t="s">
        <v>97</v>
      </c>
      <c r="O16" s="6" t="s">
        <v>29</v>
      </c>
    </row>
    <row r="17" customFormat="false" ht="45.75" hidden="false" customHeight="true" outlineLevel="0" collapsed="false">
      <c r="A17" s="3" t="s">
        <v>15</v>
      </c>
      <c r="B17" s="6" t="s">
        <v>131</v>
      </c>
      <c r="C17" s="6" t="s">
        <v>17</v>
      </c>
      <c r="D17" s="6" t="s">
        <v>18</v>
      </c>
      <c r="E17" s="7" t="s">
        <v>31</v>
      </c>
      <c r="F17" s="6" t="s">
        <v>132</v>
      </c>
      <c r="G17" s="6" t="s">
        <v>133</v>
      </c>
      <c r="H17" s="6" t="s">
        <v>134</v>
      </c>
      <c r="I17" s="6" t="s">
        <v>135</v>
      </c>
      <c r="J17" s="6" t="s">
        <v>136</v>
      </c>
      <c r="K17" s="6" t="s">
        <v>25</v>
      </c>
      <c r="L17" s="6" t="s">
        <v>69</v>
      </c>
      <c r="M17" s="6" t="s">
        <v>121</v>
      </c>
      <c r="N17" s="6" t="s">
        <v>97</v>
      </c>
      <c r="O17" s="6" t="s">
        <v>29</v>
      </c>
    </row>
    <row r="18" customFormat="false" ht="34.5" hidden="false" customHeight="true" outlineLevel="0" collapsed="false">
      <c r="A18" s="3" t="s">
        <v>15</v>
      </c>
      <c r="B18" s="4" t="s">
        <v>137</v>
      </c>
      <c r="C18" s="4" t="s">
        <v>17</v>
      </c>
      <c r="D18" s="4" t="s">
        <v>51</v>
      </c>
      <c r="E18" s="7" t="s">
        <v>31</v>
      </c>
      <c r="F18" s="6" t="s">
        <v>138</v>
      </c>
      <c r="G18" s="6" t="s">
        <v>139</v>
      </c>
      <c r="H18" s="6" t="s">
        <v>140</v>
      </c>
      <c r="I18" s="6" t="s">
        <v>141</v>
      </c>
      <c r="J18" s="6" t="s">
        <v>142</v>
      </c>
      <c r="K18" s="4" t="s">
        <v>43</v>
      </c>
      <c r="L18" s="6" t="s">
        <v>69</v>
      </c>
      <c r="M18" s="6" t="s">
        <v>121</v>
      </c>
      <c r="N18" s="6" t="s">
        <v>97</v>
      </c>
      <c r="O18" s="6" t="s">
        <v>29</v>
      </c>
    </row>
    <row r="19" customFormat="false" ht="23.25" hidden="false" customHeight="true" outlineLevel="0" collapsed="false">
      <c r="A19" s="3" t="s">
        <v>15</v>
      </c>
      <c r="B19" s="6" t="s">
        <v>143</v>
      </c>
      <c r="C19" s="6" t="s">
        <v>17</v>
      </c>
      <c r="D19" s="6" t="s">
        <v>51</v>
      </c>
      <c r="E19" s="7" t="s">
        <v>31</v>
      </c>
      <c r="F19" s="6" t="s">
        <v>144</v>
      </c>
      <c r="G19" s="6" t="s">
        <v>145</v>
      </c>
      <c r="H19" s="6" t="s">
        <v>146</v>
      </c>
      <c r="I19" s="6" t="s">
        <v>147</v>
      </c>
      <c r="J19" s="6" t="s">
        <v>148</v>
      </c>
      <c r="K19" s="6" t="s">
        <v>43</v>
      </c>
      <c r="L19" s="6" t="s">
        <v>69</v>
      </c>
      <c r="M19" s="6" t="s">
        <v>121</v>
      </c>
      <c r="N19" s="6" t="s">
        <v>97</v>
      </c>
      <c r="O19" s="6" t="s">
        <v>29</v>
      </c>
    </row>
    <row r="20" customFormat="false" ht="34.5" hidden="false" customHeight="true" outlineLevel="0" collapsed="false">
      <c r="A20" s="3" t="s">
        <v>15</v>
      </c>
      <c r="B20" s="4" t="s">
        <v>149</v>
      </c>
      <c r="C20" s="4" t="s">
        <v>77</v>
      </c>
      <c r="D20" s="4" t="s">
        <v>18</v>
      </c>
      <c r="E20" s="5" t="s">
        <v>19</v>
      </c>
      <c r="F20" s="6" t="s">
        <v>150</v>
      </c>
      <c r="G20" s="6" t="s">
        <v>151</v>
      </c>
      <c r="H20" s="6" t="s">
        <v>152</v>
      </c>
      <c r="I20" s="6" t="s">
        <v>87</v>
      </c>
      <c r="J20" s="6" t="s">
        <v>153</v>
      </c>
      <c r="K20" s="4" t="s">
        <v>43</v>
      </c>
      <c r="L20" s="6" t="s">
        <v>26</v>
      </c>
      <c r="M20" s="6" t="s">
        <v>121</v>
      </c>
      <c r="N20" s="6" t="s">
        <v>97</v>
      </c>
      <c r="O20" s="6" t="s">
        <v>29</v>
      </c>
    </row>
    <row r="21" customFormat="false" ht="34.5" hidden="false" customHeight="true" outlineLevel="0" collapsed="false">
      <c r="A21" s="3" t="s">
        <v>15</v>
      </c>
      <c r="B21" s="6" t="s">
        <v>154</v>
      </c>
      <c r="C21" s="6" t="s">
        <v>58</v>
      </c>
      <c r="D21" s="6" t="s">
        <v>90</v>
      </c>
      <c r="E21" s="7" t="s">
        <v>31</v>
      </c>
      <c r="F21" s="6" t="s">
        <v>155</v>
      </c>
      <c r="G21" s="6" t="s">
        <v>156</v>
      </c>
      <c r="H21" s="6" t="s">
        <v>157</v>
      </c>
      <c r="I21" s="6" t="s">
        <v>158</v>
      </c>
      <c r="J21" s="6" t="s">
        <v>159</v>
      </c>
      <c r="K21" s="6" t="s">
        <v>25</v>
      </c>
      <c r="L21" s="6" t="s">
        <v>69</v>
      </c>
      <c r="M21" s="6" t="s">
        <v>160</v>
      </c>
      <c r="N21" s="7" t="s">
        <v>161</v>
      </c>
      <c r="O21" s="7" t="s">
        <v>162</v>
      </c>
    </row>
    <row r="22" customFormat="false" ht="34.5" hidden="false" customHeight="true" outlineLevel="0" collapsed="false">
      <c r="A22" s="3" t="s">
        <v>15</v>
      </c>
      <c r="B22" s="4" t="s">
        <v>163</v>
      </c>
      <c r="C22" s="4" t="s">
        <v>17</v>
      </c>
      <c r="D22" s="4" t="s">
        <v>51</v>
      </c>
      <c r="E22" s="7" t="s">
        <v>31</v>
      </c>
      <c r="F22" s="6" t="s">
        <v>164</v>
      </c>
      <c r="G22" s="6" t="s">
        <v>39</v>
      </c>
      <c r="H22" s="6" t="s">
        <v>165</v>
      </c>
      <c r="I22" s="6" t="s">
        <v>166</v>
      </c>
      <c r="J22" s="6" t="s">
        <v>167</v>
      </c>
      <c r="K22" s="4" t="s">
        <v>25</v>
      </c>
      <c r="L22" s="6" t="s">
        <v>69</v>
      </c>
      <c r="M22" s="6" t="s">
        <v>168</v>
      </c>
      <c r="N22" s="8" t="s">
        <v>169</v>
      </c>
      <c r="O22" s="9" t="s">
        <v>170</v>
      </c>
    </row>
    <row r="23" customFormat="false" ht="15" hidden="false" customHeight="true" outlineLevel="0" collapsed="false">
      <c r="A23" s="3" t="s">
        <v>171</v>
      </c>
      <c r="B23" s="6" t="s">
        <v>172</v>
      </c>
      <c r="C23" s="6" t="s">
        <v>173</v>
      </c>
      <c r="D23" s="6" t="s">
        <v>18</v>
      </c>
      <c r="E23" s="5" t="s">
        <v>19</v>
      </c>
      <c r="F23" s="6" t="s">
        <v>174</v>
      </c>
      <c r="G23" s="6" t="s">
        <v>175</v>
      </c>
      <c r="H23" s="6" t="s">
        <v>176</v>
      </c>
      <c r="I23" s="6" t="s">
        <v>177</v>
      </c>
      <c r="J23" s="6" t="s">
        <v>178</v>
      </c>
      <c r="K23" s="6" t="s">
        <v>25</v>
      </c>
      <c r="L23" s="6" t="s">
        <v>26</v>
      </c>
      <c r="M23" s="6" t="s">
        <v>27</v>
      </c>
      <c r="N23" s="6" t="s">
        <v>28</v>
      </c>
      <c r="O23" s="6" t="s">
        <v>29</v>
      </c>
    </row>
    <row r="24" customFormat="false" ht="23.25" hidden="false" customHeight="true" outlineLevel="0" collapsed="false">
      <c r="A24" s="3" t="s">
        <v>171</v>
      </c>
      <c r="B24" s="4" t="s">
        <v>179</v>
      </c>
      <c r="C24" s="4" t="s">
        <v>173</v>
      </c>
      <c r="D24" s="4" t="s">
        <v>18</v>
      </c>
      <c r="E24" s="7" t="s">
        <v>31</v>
      </c>
      <c r="F24" s="6" t="s">
        <v>180</v>
      </c>
      <c r="G24" s="6" t="s">
        <v>181</v>
      </c>
      <c r="H24" s="6" t="s">
        <v>182</v>
      </c>
      <c r="I24" s="6" t="s">
        <v>183</v>
      </c>
      <c r="J24" s="6" t="s">
        <v>36</v>
      </c>
      <c r="K24" s="4" t="s">
        <v>25</v>
      </c>
      <c r="L24" s="6" t="s">
        <v>26</v>
      </c>
      <c r="M24" s="6" t="s">
        <v>27</v>
      </c>
      <c r="N24" s="6" t="s">
        <v>28</v>
      </c>
      <c r="O24" s="6" t="s">
        <v>29</v>
      </c>
    </row>
    <row r="25" customFormat="false" ht="15" hidden="false" customHeight="true" outlineLevel="0" collapsed="false">
      <c r="A25" s="3" t="s">
        <v>171</v>
      </c>
      <c r="B25" s="6" t="s">
        <v>184</v>
      </c>
      <c r="C25" s="6" t="s">
        <v>173</v>
      </c>
      <c r="D25" s="6" t="s">
        <v>18</v>
      </c>
      <c r="E25" s="5" t="s">
        <v>19</v>
      </c>
      <c r="F25" s="6" t="s">
        <v>185</v>
      </c>
      <c r="G25" s="6" t="s">
        <v>85</v>
      </c>
      <c r="H25" s="6" t="s">
        <v>186</v>
      </c>
      <c r="I25" s="6" t="s">
        <v>187</v>
      </c>
      <c r="J25" s="6" t="s">
        <v>188</v>
      </c>
      <c r="K25" s="6" t="s">
        <v>43</v>
      </c>
      <c r="L25" s="6" t="s">
        <v>26</v>
      </c>
      <c r="M25" s="6" t="s">
        <v>27</v>
      </c>
      <c r="N25" s="6" t="s">
        <v>28</v>
      </c>
      <c r="O25" s="6" t="s">
        <v>29</v>
      </c>
    </row>
    <row r="26" customFormat="false" ht="23.25" hidden="false" customHeight="true" outlineLevel="0" collapsed="false">
      <c r="A26" s="3" t="s">
        <v>171</v>
      </c>
      <c r="B26" s="4" t="s">
        <v>189</v>
      </c>
      <c r="C26" s="4" t="s">
        <v>173</v>
      </c>
      <c r="D26" s="4" t="s">
        <v>90</v>
      </c>
      <c r="E26" s="7" t="s">
        <v>31</v>
      </c>
      <c r="F26" s="6" t="s">
        <v>190</v>
      </c>
      <c r="G26" s="6" t="s">
        <v>191</v>
      </c>
      <c r="H26" s="6" t="s">
        <v>192</v>
      </c>
      <c r="I26" s="6" t="s">
        <v>128</v>
      </c>
      <c r="J26" s="6" t="s">
        <v>193</v>
      </c>
      <c r="K26" s="4" t="s">
        <v>43</v>
      </c>
      <c r="L26" s="6" t="s">
        <v>69</v>
      </c>
      <c r="M26" s="6" t="s">
        <v>27</v>
      </c>
      <c r="N26" s="6" t="s">
        <v>28</v>
      </c>
      <c r="O26" s="6" t="s">
        <v>29</v>
      </c>
    </row>
    <row r="27" customFormat="false" ht="23.25" hidden="false" customHeight="true" outlineLevel="0" collapsed="false">
      <c r="A27" s="3" t="s">
        <v>171</v>
      </c>
      <c r="B27" s="6" t="s">
        <v>194</v>
      </c>
      <c r="C27" s="6" t="s">
        <v>195</v>
      </c>
      <c r="D27" s="6" t="s">
        <v>18</v>
      </c>
      <c r="E27" s="7" t="s">
        <v>31</v>
      </c>
      <c r="F27" s="6" t="s">
        <v>196</v>
      </c>
      <c r="G27" s="6" t="s">
        <v>197</v>
      </c>
      <c r="H27" s="6" t="s">
        <v>198</v>
      </c>
      <c r="I27" s="6" t="s">
        <v>199</v>
      </c>
      <c r="J27" s="6" t="s">
        <v>200</v>
      </c>
      <c r="K27" s="6" t="s">
        <v>43</v>
      </c>
      <c r="L27" s="6" t="s">
        <v>26</v>
      </c>
      <c r="M27" s="6" t="s">
        <v>27</v>
      </c>
      <c r="N27" s="6" t="s">
        <v>28</v>
      </c>
      <c r="O27" s="6" t="s">
        <v>29</v>
      </c>
    </row>
    <row r="28" customFormat="false" ht="23.25" hidden="false" customHeight="true" outlineLevel="0" collapsed="false">
      <c r="A28" s="3" t="s">
        <v>171</v>
      </c>
      <c r="B28" s="4" t="s">
        <v>201</v>
      </c>
      <c r="C28" s="4" t="s">
        <v>195</v>
      </c>
      <c r="D28" s="4" t="s">
        <v>18</v>
      </c>
      <c r="E28" s="5" t="s">
        <v>19</v>
      </c>
      <c r="F28" s="6" t="s">
        <v>202</v>
      </c>
      <c r="G28" s="6" t="s">
        <v>197</v>
      </c>
      <c r="H28" s="6" t="s">
        <v>203</v>
      </c>
      <c r="I28" s="6" t="s">
        <v>204</v>
      </c>
      <c r="J28" s="6" t="s">
        <v>205</v>
      </c>
      <c r="K28" s="4" t="s">
        <v>25</v>
      </c>
      <c r="L28" s="6" t="s">
        <v>26</v>
      </c>
      <c r="M28" s="6" t="s">
        <v>27</v>
      </c>
      <c r="N28" s="6" t="s">
        <v>28</v>
      </c>
      <c r="O28" s="6" t="s">
        <v>29</v>
      </c>
    </row>
    <row r="29" customFormat="false" ht="23.25" hidden="false" customHeight="true" outlineLevel="0" collapsed="false">
      <c r="A29" s="3" t="s">
        <v>171</v>
      </c>
      <c r="B29" s="6" t="s">
        <v>206</v>
      </c>
      <c r="C29" s="6" t="s">
        <v>173</v>
      </c>
      <c r="D29" s="6" t="s">
        <v>18</v>
      </c>
      <c r="E29" s="7" t="s">
        <v>31</v>
      </c>
      <c r="F29" s="6" t="s">
        <v>207</v>
      </c>
      <c r="G29" s="6" t="s">
        <v>197</v>
      </c>
      <c r="H29" s="6" t="s">
        <v>208</v>
      </c>
      <c r="I29" s="6" t="s">
        <v>209</v>
      </c>
      <c r="J29" s="6" t="s">
        <v>42</v>
      </c>
      <c r="K29" s="6" t="s">
        <v>210</v>
      </c>
      <c r="L29" s="6" t="s">
        <v>26</v>
      </c>
      <c r="M29" s="6" t="s">
        <v>27</v>
      </c>
      <c r="N29" s="6" t="s">
        <v>28</v>
      </c>
      <c r="O29" s="6" t="s">
        <v>29</v>
      </c>
    </row>
    <row r="30" customFormat="false" ht="15" hidden="false" customHeight="true" outlineLevel="0" collapsed="false">
      <c r="A30" s="3" t="s">
        <v>171</v>
      </c>
      <c r="B30" s="4" t="s">
        <v>211</v>
      </c>
      <c r="C30" s="4" t="s">
        <v>212</v>
      </c>
      <c r="D30" s="4" t="s">
        <v>105</v>
      </c>
      <c r="E30" s="5" t="s">
        <v>19</v>
      </c>
      <c r="F30" s="6" t="s">
        <v>213</v>
      </c>
      <c r="G30" s="6" t="s">
        <v>214</v>
      </c>
      <c r="H30" s="6" t="s">
        <v>215</v>
      </c>
      <c r="I30" s="6" t="s">
        <v>216</v>
      </c>
      <c r="J30" s="6" t="s">
        <v>217</v>
      </c>
      <c r="K30" s="4" t="s">
        <v>25</v>
      </c>
      <c r="L30" s="6" t="s">
        <v>26</v>
      </c>
      <c r="M30" s="6" t="s">
        <v>27</v>
      </c>
      <c r="N30" s="6" t="s">
        <v>28</v>
      </c>
      <c r="O30" s="7" t="s">
        <v>218</v>
      </c>
    </row>
    <row r="31" customFormat="false" ht="23.25" hidden="false" customHeight="true" outlineLevel="0" collapsed="false">
      <c r="A31" s="3" t="s">
        <v>171</v>
      </c>
      <c r="B31" s="6" t="s">
        <v>219</v>
      </c>
      <c r="C31" s="6" t="s">
        <v>58</v>
      </c>
      <c r="D31" s="6" t="s">
        <v>220</v>
      </c>
      <c r="E31" s="5" t="s">
        <v>19</v>
      </c>
      <c r="F31" s="6" t="s">
        <v>221</v>
      </c>
      <c r="G31" s="6" t="s">
        <v>222</v>
      </c>
      <c r="H31" s="6" t="s">
        <v>223</v>
      </c>
      <c r="I31" s="6" t="s">
        <v>224</v>
      </c>
      <c r="J31" s="6" t="s">
        <v>225</v>
      </c>
      <c r="K31" s="6" t="s">
        <v>43</v>
      </c>
      <c r="L31" s="6" t="s">
        <v>26</v>
      </c>
      <c r="M31" s="6" t="s">
        <v>27</v>
      </c>
      <c r="N31" s="6" t="s">
        <v>28</v>
      </c>
      <c r="O31" s="6" t="s">
        <v>29</v>
      </c>
    </row>
    <row r="32" customFormat="false" ht="23.25" hidden="false" customHeight="true" outlineLevel="0" collapsed="false">
      <c r="A32" s="3" t="s">
        <v>171</v>
      </c>
      <c r="B32" s="4" t="s">
        <v>226</v>
      </c>
      <c r="C32" s="4" t="s">
        <v>58</v>
      </c>
      <c r="D32" s="4" t="s">
        <v>51</v>
      </c>
      <c r="E32" s="7" t="s">
        <v>31</v>
      </c>
      <c r="F32" s="6" t="s">
        <v>227</v>
      </c>
      <c r="G32" s="6" t="s">
        <v>228</v>
      </c>
      <c r="H32" s="6" t="s">
        <v>229</v>
      </c>
      <c r="I32" s="6" t="s">
        <v>230</v>
      </c>
      <c r="J32" s="6" t="s">
        <v>63</v>
      </c>
      <c r="K32" s="4" t="s">
        <v>43</v>
      </c>
      <c r="L32" s="6" t="s">
        <v>26</v>
      </c>
      <c r="M32" s="6" t="s">
        <v>27</v>
      </c>
      <c r="N32" s="6" t="s">
        <v>28</v>
      </c>
      <c r="O32" s="6" t="s">
        <v>29</v>
      </c>
    </row>
    <row r="33" customFormat="false" ht="34.5" hidden="false" customHeight="true" outlineLevel="0" collapsed="false">
      <c r="A33" s="3" t="s">
        <v>171</v>
      </c>
      <c r="B33" s="6" t="s">
        <v>231</v>
      </c>
      <c r="C33" s="6" t="s">
        <v>173</v>
      </c>
      <c r="D33" s="6" t="s">
        <v>18</v>
      </c>
      <c r="E33" s="5" t="s">
        <v>19</v>
      </c>
      <c r="F33" s="6" t="s">
        <v>232</v>
      </c>
      <c r="G33" s="6" t="s">
        <v>233</v>
      </c>
      <c r="H33" s="6" t="s">
        <v>234</v>
      </c>
      <c r="I33" s="6" t="s">
        <v>235</v>
      </c>
      <c r="J33" s="6" t="s">
        <v>236</v>
      </c>
      <c r="K33" s="6" t="s">
        <v>43</v>
      </c>
      <c r="L33" s="6" t="s">
        <v>26</v>
      </c>
      <c r="M33" s="6" t="s">
        <v>237</v>
      </c>
      <c r="N33" s="6" t="s">
        <v>97</v>
      </c>
      <c r="O33" s="6" t="s">
        <v>29</v>
      </c>
    </row>
    <row r="34" customFormat="false" ht="23.25" hidden="false" customHeight="true" outlineLevel="0" collapsed="false">
      <c r="A34" s="3" t="s">
        <v>171</v>
      </c>
      <c r="B34" s="4" t="s">
        <v>238</v>
      </c>
      <c r="C34" s="4" t="s">
        <v>195</v>
      </c>
      <c r="D34" s="4" t="s">
        <v>239</v>
      </c>
      <c r="E34" s="5" t="s">
        <v>19</v>
      </c>
      <c r="F34" s="6" t="s">
        <v>240</v>
      </c>
      <c r="G34" s="6" t="s">
        <v>241</v>
      </c>
      <c r="H34" s="6" t="s">
        <v>242</v>
      </c>
      <c r="I34" s="6" t="s">
        <v>243</v>
      </c>
      <c r="J34" s="6" t="s">
        <v>244</v>
      </c>
      <c r="K34" s="4" t="s">
        <v>25</v>
      </c>
      <c r="L34" s="6" t="s">
        <v>245</v>
      </c>
      <c r="M34" s="6" t="s">
        <v>246</v>
      </c>
      <c r="N34" s="7" t="s">
        <v>247</v>
      </c>
      <c r="O34" s="7" t="s">
        <v>248</v>
      </c>
    </row>
    <row r="35" customFormat="false" ht="34.5" hidden="false" customHeight="true" outlineLevel="0" collapsed="false">
      <c r="A35" s="3" t="s">
        <v>171</v>
      </c>
      <c r="B35" s="6" t="s">
        <v>249</v>
      </c>
      <c r="C35" s="6" t="s">
        <v>173</v>
      </c>
      <c r="D35" s="6" t="s">
        <v>51</v>
      </c>
      <c r="E35" s="7" t="s">
        <v>31</v>
      </c>
      <c r="F35" s="6" t="s">
        <v>250</v>
      </c>
      <c r="G35" s="6" t="s">
        <v>251</v>
      </c>
      <c r="H35" s="6" t="s">
        <v>252</v>
      </c>
      <c r="I35" s="6" t="s">
        <v>253</v>
      </c>
      <c r="J35" s="6" t="s">
        <v>254</v>
      </c>
      <c r="K35" s="6" t="s">
        <v>43</v>
      </c>
      <c r="L35" s="6" t="s">
        <v>26</v>
      </c>
      <c r="M35" s="6" t="s">
        <v>255</v>
      </c>
      <c r="N35" s="7" t="s">
        <v>256</v>
      </c>
      <c r="O35" s="8" t="s">
        <v>257</v>
      </c>
    </row>
    <row r="36" customFormat="false" ht="34.5" hidden="false" customHeight="true" outlineLevel="0" collapsed="false">
      <c r="A36" s="3" t="s">
        <v>171</v>
      </c>
      <c r="B36" s="4" t="s">
        <v>258</v>
      </c>
      <c r="C36" s="4" t="s">
        <v>173</v>
      </c>
      <c r="D36" s="4" t="s">
        <v>18</v>
      </c>
      <c r="E36" s="5" t="s">
        <v>19</v>
      </c>
      <c r="F36" s="6" t="s">
        <v>259</v>
      </c>
      <c r="G36" s="6" t="s">
        <v>260</v>
      </c>
      <c r="H36" s="6" t="s">
        <v>261</v>
      </c>
      <c r="I36" s="6" t="s">
        <v>48</v>
      </c>
      <c r="J36" s="6" t="s">
        <v>262</v>
      </c>
      <c r="K36" s="4" t="s">
        <v>25</v>
      </c>
      <c r="L36" s="6" t="s">
        <v>26</v>
      </c>
      <c r="M36" s="6" t="s">
        <v>121</v>
      </c>
      <c r="N36" s="6" t="s">
        <v>97</v>
      </c>
      <c r="O36" s="6" t="s">
        <v>29</v>
      </c>
    </row>
    <row r="37" customFormat="false" ht="23.25" hidden="false" customHeight="true" outlineLevel="0" collapsed="false">
      <c r="A37" s="3" t="s">
        <v>171</v>
      </c>
      <c r="B37" s="6" t="s">
        <v>263</v>
      </c>
      <c r="C37" s="6" t="s">
        <v>173</v>
      </c>
      <c r="D37" s="6" t="s">
        <v>105</v>
      </c>
      <c r="E37" s="7" t="s">
        <v>31</v>
      </c>
      <c r="F37" s="6" t="s">
        <v>264</v>
      </c>
      <c r="G37" s="6" t="s">
        <v>265</v>
      </c>
      <c r="H37" s="6" t="s">
        <v>266</v>
      </c>
      <c r="I37" s="6" t="s">
        <v>267</v>
      </c>
      <c r="J37" s="6" t="s">
        <v>268</v>
      </c>
      <c r="K37" s="6" t="s">
        <v>25</v>
      </c>
      <c r="L37" s="6" t="s">
        <v>69</v>
      </c>
      <c r="M37" s="6" t="s">
        <v>121</v>
      </c>
      <c r="N37" s="7" t="s">
        <v>269</v>
      </c>
      <c r="O37" s="7" t="s">
        <v>270</v>
      </c>
    </row>
    <row r="38" customFormat="false" ht="23.25" hidden="false" customHeight="true" outlineLevel="0" collapsed="false">
      <c r="A38" s="3" t="s">
        <v>171</v>
      </c>
      <c r="B38" s="4" t="s">
        <v>271</v>
      </c>
      <c r="C38" s="4" t="s">
        <v>195</v>
      </c>
      <c r="D38" s="4" t="s">
        <v>272</v>
      </c>
      <c r="E38" s="7" t="s">
        <v>31</v>
      </c>
      <c r="F38" s="6" t="s">
        <v>273</v>
      </c>
      <c r="G38" s="6" t="s">
        <v>274</v>
      </c>
      <c r="H38" s="6" t="s">
        <v>275</v>
      </c>
      <c r="I38" s="6" t="s">
        <v>276</v>
      </c>
      <c r="J38" s="6" t="s">
        <v>277</v>
      </c>
      <c r="K38" s="4" t="s">
        <v>25</v>
      </c>
      <c r="L38" s="6" t="s">
        <v>69</v>
      </c>
      <c r="M38" s="6" t="s">
        <v>278</v>
      </c>
      <c r="N38" s="7" t="s">
        <v>279</v>
      </c>
      <c r="O38" s="7" t="s">
        <v>280</v>
      </c>
    </row>
    <row r="39" customFormat="false" ht="34.5" hidden="false" customHeight="true" outlineLevel="0" collapsed="false">
      <c r="A39" s="3" t="s">
        <v>171</v>
      </c>
      <c r="B39" s="6" t="s">
        <v>281</v>
      </c>
      <c r="C39" s="6" t="s">
        <v>173</v>
      </c>
      <c r="D39" s="6" t="s">
        <v>18</v>
      </c>
      <c r="E39" s="5" t="s">
        <v>19</v>
      </c>
      <c r="F39" s="6" t="s">
        <v>282</v>
      </c>
      <c r="G39" s="6" t="s">
        <v>283</v>
      </c>
      <c r="H39" s="6" t="s">
        <v>284</v>
      </c>
      <c r="I39" s="6" t="s">
        <v>285</v>
      </c>
      <c r="J39" s="6" t="s">
        <v>286</v>
      </c>
      <c r="K39" s="6" t="s">
        <v>43</v>
      </c>
      <c r="L39" s="6" t="s">
        <v>26</v>
      </c>
      <c r="M39" s="6" t="s">
        <v>287</v>
      </c>
      <c r="N39" s="6" t="s">
        <v>97</v>
      </c>
      <c r="O39" s="6" t="s">
        <v>29</v>
      </c>
    </row>
    <row r="40" customFormat="false" ht="23.25" hidden="false" customHeight="true" outlineLevel="0" collapsed="false">
      <c r="A40" s="3" t="s">
        <v>171</v>
      </c>
      <c r="B40" s="4" t="s">
        <v>288</v>
      </c>
      <c r="C40" s="4" t="s">
        <v>212</v>
      </c>
      <c r="D40" s="4" t="s">
        <v>105</v>
      </c>
      <c r="E40" s="7" t="s">
        <v>31</v>
      </c>
      <c r="F40" s="6" t="s">
        <v>289</v>
      </c>
      <c r="G40" s="6" t="s">
        <v>290</v>
      </c>
      <c r="H40" s="6" t="s">
        <v>291</v>
      </c>
      <c r="I40" s="6" t="s">
        <v>292</v>
      </c>
      <c r="J40" s="6" t="s">
        <v>293</v>
      </c>
      <c r="K40" s="4" t="s">
        <v>25</v>
      </c>
      <c r="L40" s="6" t="s">
        <v>69</v>
      </c>
      <c r="M40" s="6" t="s">
        <v>294</v>
      </c>
      <c r="N40" s="7" t="s">
        <v>295</v>
      </c>
      <c r="O40" s="7" t="s">
        <v>296</v>
      </c>
    </row>
    <row r="41" customFormat="false" ht="23.25" hidden="false" customHeight="true" outlineLevel="0" collapsed="false">
      <c r="A41" s="3" t="s">
        <v>171</v>
      </c>
      <c r="B41" s="6" t="s">
        <v>297</v>
      </c>
      <c r="C41" s="6" t="s">
        <v>77</v>
      </c>
      <c r="D41" s="6" t="s">
        <v>51</v>
      </c>
      <c r="E41" s="5" t="s">
        <v>19</v>
      </c>
      <c r="F41" s="6" t="s">
        <v>298</v>
      </c>
      <c r="G41" s="6" t="s">
        <v>299</v>
      </c>
      <c r="H41" s="6" t="s">
        <v>300</v>
      </c>
      <c r="I41" s="6" t="s">
        <v>301</v>
      </c>
      <c r="J41" s="6" t="s">
        <v>302</v>
      </c>
      <c r="K41" s="6" t="s">
        <v>43</v>
      </c>
      <c r="L41" s="6" t="s">
        <v>69</v>
      </c>
      <c r="M41" s="6" t="s">
        <v>121</v>
      </c>
      <c r="N41" s="8" t="s">
        <v>303</v>
      </c>
      <c r="O41" s="9" t="s">
        <v>170</v>
      </c>
    </row>
    <row r="42" customFormat="false" ht="34.5" hidden="false" customHeight="true" outlineLevel="0" collapsed="false">
      <c r="A42" s="3" t="s">
        <v>171</v>
      </c>
      <c r="B42" s="4" t="s">
        <v>304</v>
      </c>
      <c r="C42" s="4" t="s">
        <v>58</v>
      </c>
      <c r="D42" s="4" t="s">
        <v>90</v>
      </c>
      <c r="E42" s="7" t="s">
        <v>31</v>
      </c>
      <c r="F42" s="6" t="s">
        <v>305</v>
      </c>
      <c r="G42" s="6" t="s">
        <v>306</v>
      </c>
      <c r="H42" s="6" t="s">
        <v>307</v>
      </c>
      <c r="I42" s="6" t="s">
        <v>87</v>
      </c>
      <c r="J42" s="6" t="s">
        <v>308</v>
      </c>
      <c r="K42" s="4" t="s">
        <v>25</v>
      </c>
      <c r="L42" s="6" t="s">
        <v>69</v>
      </c>
      <c r="M42" s="6" t="s">
        <v>96</v>
      </c>
      <c r="N42" s="6" t="s">
        <v>97</v>
      </c>
      <c r="O42" s="6" t="s">
        <v>29</v>
      </c>
    </row>
    <row r="43" customFormat="false" ht="15" hidden="false" customHeight="true" outlineLevel="0" collapsed="false">
      <c r="A43" s="3" t="s">
        <v>309</v>
      </c>
      <c r="B43" s="6" t="s">
        <v>310</v>
      </c>
      <c r="C43" s="6" t="s">
        <v>311</v>
      </c>
      <c r="D43" s="6" t="s">
        <v>18</v>
      </c>
      <c r="E43" s="5" t="s">
        <v>19</v>
      </c>
      <c r="F43" s="6" t="s">
        <v>312</v>
      </c>
      <c r="G43" s="6" t="s">
        <v>313</v>
      </c>
      <c r="H43" s="6" t="s">
        <v>314</v>
      </c>
      <c r="I43" s="6" t="s">
        <v>315</v>
      </c>
      <c r="J43" s="6" t="s">
        <v>316</v>
      </c>
      <c r="K43" s="6" t="s">
        <v>25</v>
      </c>
      <c r="L43" s="6" t="s">
        <v>26</v>
      </c>
      <c r="M43" s="6" t="s">
        <v>27</v>
      </c>
      <c r="N43" s="6" t="s">
        <v>28</v>
      </c>
      <c r="O43" s="6" t="s">
        <v>29</v>
      </c>
    </row>
    <row r="44" customFormat="false" ht="15" hidden="false" customHeight="true" outlineLevel="0" collapsed="false">
      <c r="A44" s="3" t="s">
        <v>309</v>
      </c>
      <c r="B44" s="4" t="s">
        <v>317</v>
      </c>
      <c r="C44" s="4" t="s">
        <v>311</v>
      </c>
      <c r="D44" s="4" t="s">
        <v>18</v>
      </c>
      <c r="E44" s="7" t="s">
        <v>31</v>
      </c>
      <c r="F44" s="6" t="s">
        <v>318</v>
      </c>
      <c r="G44" s="6" t="s">
        <v>313</v>
      </c>
      <c r="H44" s="6" t="s">
        <v>319</v>
      </c>
      <c r="I44" s="6" t="s">
        <v>320</v>
      </c>
      <c r="J44" s="6" t="s">
        <v>42</v>
      </c>
      <c r="K44" s="4" t="s">
        <v>43</v>
      </c>
      <c r="L44" s="6" t="s">
        <v>26</v>
      </c>
      <c r="M44" s="6" t="s">
        <v>27</v>
      </c>
      <c r="N44" s="6" t="s">
        <v>28</v>
      </c>
      <c r="O44" s="6" t="s">
        <v>29</v>
      </c>
    </row>
    <row r="45" customFormat="false" ht="23.25" hidden="false" customHeight="true" outlineLevel="0" collapsed="false">
      <c r="A45" s="3" t="s">
        <v>309</v>
      </c>
      <c r="B45" s="6" t="s">
        <v>321</v>
      </c>
      <c r="C45" s="6" t="s">
        <v>311</v>
      </c>
      <c r="D45" s="6" t="s">
        <v>51</v>
      </c>
      <c r="E45" s="7" t="s">
        <v>31</v>
      </c>
      <c r="F45" s="6" t="s">
        <v>322</v>
      </c>
      <c r="G45" s="6" t="s">
        <v>197</v>
      </c>
      <c r="H45" s="6" t="s">
        <v>323</v>
      </c>
      <c r="I45" s="6" t="s">
        <v>147</v>
      </c>
      <c r="J45" s="6" t="s">
        <v>324</v>
      </c>
      <c r="K45" s="6" t="s">
        <v>43</v>
      </c>
      <c r="L45" s="6" t="s">
        <v>69</v>
      </c>
      <c r="M45" s="6" t="s">
        <v>27</v>
      </c>
      <c r="N45" s="6" t="s">
        <v>28</v>
      </c>
      <c r="O45" s="6" t="s">
        <v>29</v>
      </c>
    </row>
    <row r="46" customFormat="false" ht="34.5" hidden="false" customHeight="true" outlineLevel="0" collapsed="false">
      <c r="A46" s="3" t="s">
        <v>309</v>
      </c>
      <c r="B46" s="4" t="s">
        <v>325</v>
      </c>
      <c r="C46" s="4" t="s">
        <v>326</v>
      </c>
      <c r="D46" s="4" t="s">
        <v>51</v>
      </c>
      <c r="E46" s="7" t="s">
        <v>31</v>
      </c>
      <c r="F46" s="6" t="s">
        <v>327</v>
      </c>
      <c r="G46" s="6" t="s">
        <v>328</v>
      </c>
      <c r="H46" s="6" t="s">
        <v>329</v>
      </c>
      <c r="I46" s="6" t="s">
        <v>330</v>
      </c>
      <c r="J46" s="6" t="s">
        <v>193</v>
      </c>
      <c r="K46" s="4" t="s">
        <v>43</v>
      </c>
      <c r="L46" s="6" t="s">
        <v>69</v>
      </c>
      <c r="M46" s="6" t="s">
        <v>27</v>
      </c>
      <c r="N46" s="6" t="s">
        <v>28</v>
      </c>
      <c r="O46" s="6" t="s">
        <v>29</v>
      </c>
    </row>
    <row r="47" customFormat="false" ht="23.25" hidden="false" customHeight="true" outlineLevel="0" collapsed="false">
      <c r="A47" s="3" t="s">
        <v>309</v>
      </c>
      <c r="B47" s="6" t="s">
        <v>331</v>
      </c>
      <c r="C47" s="6" t="s">
        <v>332</v>
      </c>
      <c r="D47" s="6" t="s">
        <v>18</v>
      </c>
      <c r="E47" s="7" t="s">
        <v>31</v>
      </c>
      <c r="F47" s="6" t="s">
        <v>333</v>
      </c>
      <c r="G47" s="6" t="s">
        <v>334</v>
      </c>
      <c r="H47" s="6" t="s">
        <v>335</v>
      </c>
      <c r="I47" s="6" t="s">
        <v>336</v>
      </c>
      <c r="J47" s="6" t="s">
        <v>337</v>
      </c>
      <c r="K47" s="6" t="s">
        <v>25</v>
      </c>
      <c r="L47" s="6" t="s">
        <v>26</v>
      </c>
      <c r="M47" s="6" t="s">
        <v>27</v>
      </c>
      <c r="N47" s="6" t="s">
        <v>28</v>
      </c>
      <c r="O47" s="6" t="s">
        <v>29</v>
      </c>
    </row>
    <row r="48" customFormat="false" ht="34.5" hidden="false" customHeight="true" outlineLevel="0" collapsed="false">
      <c r="A48" s="3" t="s">
        <v>309</v>
      </c>
      <c r="B48" s="4" t="s">
        <v>338</v>
      </c>
      <c r="C48" s="4" t="s">
        <v>332</v>
      </c>
      <c r="D48" s="4" t="s">
        <v>51</v>
      </c>
      <c r="E48" s="7" t="s">
        <v>31</v>
      </c>
      <c r="F48" s="6" t="s">
        <v>339</v>
      </c>
      <c r="G48" s="6" t="s">
        <v>340</v>
      </c>
      <c r="H48" s="6" t="s">
        <v>341</v>
      </c>
      <c r="I48" s="6" t="s">
        <v>342</v>
      </c>
      <c r="J48" s="6" t="s">
        <v>193</v>
      </c>
      <c r="K48" s="4" t="s">
        <v>43</v>
      </c>
      <c r="L48" s="6" t="s">
        <v>69</v>
      </c>
      <c r="M48" s="6" t="s">
        <v>27</v>
      </c>
      <c r="N48" s="6" t="s">
        <v>28</v>
      </c>
      <c r="O48" s="6" t="s">
        <v>29</v>
      </c>
    </row>
    <row r="49" customFormat="false" ht="34.5" hidden="false" customHeight="true" outlineLevel="0" collapsed="false">
      <c r="A49" s="3" t="s">
        <v>309</v>
      </c>
      <c r="B49" s="6" t="s">
        <v>343</v>
      </c>
      <c r="C49" s="6" t="s">
        <v>344</v>
      </c>
      <c r="D49" s="6" t="s">
        <v>345</v>
      </c>
      <c r="E49" s="5" t="s">
        <v>19</v>
      </c>
      <c r="F49" s="6" t="s">
        <v>346</v>
      </c>
      <c r="G49" s="6" t="s">
        <v>347</v>
      </c>
      <c r="H49" s="6" t="s">
        <v>348</v>
      </c>
      <c r="I49" s="6" t="s">
        <v>349</v>
      </c>
      <c r="J49" s="6" t="s">
        <v>350</v>
      </c>
      <c r="K49" s="6" t="s">
        <v>25</v>
      </c>
      <c r="L49" s="6" t="s">
        <v>245</v>
      </c>
      <c r="M49" s="6" t="s">
        <v>27</v>
      </c>
      <c r="N49" s="6" t="s">
        <v>28</v>
      </c>
      <c r="O49" s="8" t="s">
        <v>351</v>
      </c>
    </row>
    <row r="50" customFormat="false" ht="23.25" hidden="false" customHeight="true" outlineLevel="0" collapsed="false">
      <c r="A50" s="3" t="s">
        <v>309</v>
      </c>
      <c r="B50" s="4" t="s">
        <v>352</v>
      </c>
      <c r="C50" s="4" t="s">
        <v>353</v>
      </c>
      <c r="D50" s="4" t="s">
        <v>18</v>
      </c>
      <c r="E50" s="7" t="s">
        <v>31</v>
      </c>
      <c r="F50" s="6" t="s">
        <v>354</v>
      </c>
      <c r="G50" s="6" t="s">
        <v>347</v>
      </c>
      <c r="H50" s="6" t="s">
        <v>355</v>
      </c>
      <c r="I50" s="6" t="s">
        <v>356</v>
      </c>
      <c r="J50" s="6" t="s">
        <v>357</v>
      </c>
      <c r="K50" s="4" t="s">
        <v>43</v>
      </c>
      <c r="L50" s="6" t="s">
        <v>26</v>
      </c>
      <c r="M50" s="6" t="s">
        <v>27</v>
      </c>
      <c r="N50" s="6" t="s">
        <v>28</v>
      </c>
      <c r="O50" s="6" t="s">
        <v>358</v>
      </c>
    </row>
    <row r="51" customFormat="false" ht="15" hidden="false" customHeight="true" outlineLevel="0" collapsed="false">
      <c r="A51" s="3" t="s">
        <v>309</v>
      </c>
      <c r="B51" s="6" t="s">
        <v>359</v>
      </c>
      <c r="C51" s="6" t="s">
        <v>360</v>
      </c>
      <c r="D51" s="6" t="s">
        <v>18</v>
      </c>
      <c r="E51" s="7" t="s">
        <v>31</v>
      </c>
      <c r="F51" s="6" t="s">
        <v>361</v>
      </c>
      <c r="G51" s="6" t="s">
        <v>362</v>
      </c>
      <c r="H51" s="6" t="s">
        <v>363</v>
      </c>
      <c r="I51" s="6" t="s">
        <v>364</v>
      </c>
      <c r="J51" s="6" t="s">
        <v>365</v>
      </c>
      <c r="K51" s="6" t="s">
        <v>43</v>
      </c>
      <c r="L51" s="6" t="s">
        <v>26</v>
      </c>
      <c r="M51" s="6" t="s">
        <v>27</v>
      </c>
      <c r="N51" s="6" t="s">
        <v>28</v>
      </c>
      <c r="O51" s="6" t="s">
        <v>29</v>
      </c>
    </row>
    <row r="52" customFormat="false" ht="23.25" hidden="false" customHeight="true" outlineLevel="0" collapsed="false">
      <c r="A52" s="3" t="s">
        <v>309</v>
      </c>
      <c r="B52" s="4" t="s">
        <v>366</v>
      </c>
      <c r="C52" s="4" t="s">
        <v>360</v>
      </c>
      <c r="D52" s="4" t="s">
        <v>18</v>
      </c>
      <c r="E52" s="7" t="s">
        <v>31</v>
      </c>
      <c r="F52" s="6" t="s">
        <v>367</v>
      </c>
      <c r="G52" s="6" t="s">
        <v>368</v>
      </c>
      <c r="H52" s="6" t="s">
        <v>369</v>
      </c>
      <c r="I52" s="6" t="s">
        <v>370</v>
      </c>
      <c r="J52" s="6" t="s">
        <v>371</v>
      </c>
      <c r="K52" s="4" t="s">
        <v>43</v>
      </c>
      <c r="L52" s="6" t="s">
        <v>26</v>
      </c>
      <c r="M52" s="6" t="s">
        <v>27</v>
      </c>
      <c r="N52" s="6" t="s">
        <v>28</v>
      </c>
      <c r="O52" s="6" t="s">
        <v>29</v>
      </c>
    </row>
    <row r="53" customFormat="false" ht="23.25" hidden="false" customHeight="true" outlineLevel="0" collapsed="false">
      <c r="A53" s="3" t="s">
        <v>309</v>
      </c>
      <c r="B53" s="6" t="s">
        <v>372</v>
      </c>
      <c r="C53" s="6" t="s">
        <v>360</v>
      </c>
      <c r="D53" s="6" t="s">
        <v>18</v>
      </c>
      <c r="E53" s="7" t="s">
        <v>31</v>
      </c>
      <c r="F53" s="6" t="s">
        <v>373</v>
      </c>
      <c r="G53" s="6" t="s">
        <v>374</v>
      </c>
      <c r="H53" s="6" t="s">
        <v>375</v>
      </c>
      <c r="I53" s="6" t="s">
        <v>376</v>
      </c>
      <c r="J53" s="6" t="s">
        <v>42</v>
      </c>
      <c r="K53" s="6" t="s">
        <v>210</v>
      </c>
      <c r="L53" s="6" t="s">
        <v>120</v>
      </c>
      <c r="M53" s="6" t="s">
        <v>27</v>
      </c>
      <c r="N53" s="6" t="s">
        <v>28</v>
      </c>
      <c r="O53" s="6" t="s">
        <v>29</v>
      </c>
    </row>
    <row r="54" customFormat="false" ht="34.5" hidden="false" customHeight="true" outlineLevel="0" collapsed="false">
      <c r="A54" s="3" t="s">
        <v>309</v>
      </c>
      <c r="B54" s="4" t="s">
        <v>377</v>
      </c>
      <c r="C54" s="4" t="s">
        <v>105</v>
      </c>
      <c r="D54" s="4" t="s">
        <v>105</v>
      </c>
      <c r="E54" s="5" t="s">
        <v>19</v>
      </c>
      <c r="F54" s="6" t="s">
        <v>378</v>
      </c>
      <c r="G54" s="6" t="s">
        <v>379</v>
      </c>
      <c r="H54" s="6" t="s">
        <v>380</v>
      </c>
      <c r="I54" s="6" t="s">
        <v>381</v>
      </c>
      <c r="J54" s="6" t="s">
        <v>382</v>
      </c>
      <c r="K54" s="4" t="s">
        <v>210</v>
      </c>
      <c r="L54" s="6" t="s">
        <v>26</v>
      </c>
      <c r="M54" s="6" t="s">
        <v>27</v>
      </c>
      <c r="N54" s="6" t="s">
        <v>28</v>
      </c>
      <c r="O54" s="7" t="s">
        <v>383</v>
      </c>
    </row>
    <row r="55" customFormat="false" ht="57" hidden="false" customHeight="true" outlineLevel="0" collapsed="false">
      <c r="A55" s="3" t="s">
        <v>309</v>
      </c>
      <c r="B55" s="6" t="s">
        <v>384</v>
      </c>
      <c r="C55" s="6" t="s">
        <v>360</v>
      </c>
      <c r="D55" s="6" t="s">
        <v>18</v>
      </c>
      <c r="E55" s="5" t="s">
        <v>19</v>
      </c>
      <c r="F55" s="6" t="s">
        <v>385</v>
      </c>
      <c r="G55" s="6" t="s">
        <v>386</v>
      </c>
      <c r="H55" s="6" t="s">
        <v>387</v>
      </c>
      <c r="I55" s="6" t="s">
        <v>388</v>
      </c>
      <c r="J55" s="6" t="s">
        <v>389</v>
      </c>
      <c r="K55" s="6" t="s">
        <v>43</v>
      </c>
      <c r="L55" s="6" t="s">
        <v>26</v>
      </c>
      <c r="M55" s="6" t="s">
        <v>390</v>
      </c>
      <c r="N55" s="6" t="s">
        <v>97</v>
      </c>
      <c r="O55" s="6" t="s">
        <v>29</v>
      </c>
    </row>
    <row r="56" customFormat="false" ht="68.25" hidden="false" customHeight="true" outlineLevel="0" collapsed="false">
      <c r="A56" s="3" t="s">
        <v>309</v>
      </c>
      <c r="B56" s="4" t="s">
        <v>391</v>
      </c>
      <c r="C56" s="4" t="s">
        <v>105</v>
      </c>
      <c r="D56" s="4" t="s">
        <v>105</v>
      </c>
      <c r="E56" s="7" t="s">
        <v>31</v>
      </c>
      <c r="F56" s="6" t="s">
        <v>392</v>
      </c>
      <c r="G56" s="6" t="s">
        <v>393</v>
      </c>
      <c r="H56" s="6" t="s">
        <v>394</v>
      </c>
      <c r="I56" s="6" t="s">
        <v>395</v>
      </c>
      <c r="J56" s="6" t="s">
        <v>396</v>
      </c>
      <c r="K56" s="4" t="s">
        <v>25</v>
      </c>
      <c r="L56" s="6" t="s">
        <v>69</v>
      </c>
      <c r="M56" s="6" t="s">
        <v>397</v>
      </c>
      <c r="N56" s="10" t="s">
        <v>398</v>
      </c>
      <c r="O56" s="7" t="s">
        <v>270</v>
      </c>
    </row>
    <row r="57" customFormat="false" ht="45.75" hidden="false" customHeight="true" outlineLevel="0" collapsed="false">
      <c r="A57" s="3" t="s">
        <v>309</v>
      </c>
      <c r="B57" s="6" t="s">
        <v>399</v>
      </c>
      <c r="C57" s="6" t="s">
        <v>400</v>
      </c>
      <c r="D57" s="6" t="s">
        <v>18</v>
      </c>
      <c r="E57" s="5" t="s">
        <v>19</v>
      </c>
      <c r="F57" s="6" t="s">
        <v>401</v>
      </c>
      <c r="G57" s="6" t="s">
        <v>402</v>
      </c>
      <c r="H57" s="6" t="s">
        <v>403</v>
      </c>
      <c r="I57" s="6" t="s">
        <v>404</v>
      </c>
      <c r="J57" s="6" t="s">
        <v>405</v>
      </c>
      <c r="K57" s="6" t="s">
        <v>25</v>
      </c>
      <c r="L57" s="6" t="s">
        <v>245</v>
      </c>
      <c r="M57" s="6" t="s">
        <v>406</v>
      </c>
      <c r="N57" s="6" t="s">
        <v>97</v>
      </c>
      <c r="O57" s="6" t="s">
        <v>407</v>
      </c>
    </row>
    <row r="58" customFormat="false" ht="34.5" hidden="false" customHeight="true" outlineLevel="0" collapsed="false">
      <c r="A58" s="3" t="s">
        <v>309</v>
      </c>
      <c r="B58" s="4" t="s">
        <v>408</v>
      </c>
      <c r="C58" s="4" t="s">
        <v>332</v>
      </c>
      <c r="D58" s="4" t="s">
        <v>18</v>
      </c>
      <c r="E58" s="7" t="s">
        <v>31</v>
      </c>
      <c r="F58" s="6" t="s">
        <v>409</v>
      </c>
      <c r="G58" s="6" t="s">
        <v>410</v>
      </c>
      <c r="H58" s="6" t="s">
        <v>411</v>
      </c>
      <c r="I58" s="6" t="s">
        <v>412</v>
      </c>
      <c r="J58" s="6" t="s">
        <v>413</v>
      </c>
      <c r="K58" s="4" t="s">
        <v>25</v>
      </c>
      <c r="L58" s="6" t="s">
        <v>26</v>
      </c>
      <c r="M58" s="6" t="s">
        <v>414</v>
      </c>
      <c r="N58" s="6" t="s">
        <v>97</v>
      </c>
      <c r="O58" s="6" t="s">
        <v>29</v>
      </c>
    </row>
    <row r="59" customFormat="false" ht="34.5" hidden="false" customHeight="true" outlineLevel="0" collapsed="false">
      <c r="A59" s="3" t="s">
        <v>309</v>
      </c>
      <c r="B59" s="6" t="s">
        <v>415</v>
      </c>
      <c r="C59" s="6" t="s">
        <v>311</v>
      </c>
      <c r="D59" s="6" t="s">
        <v>18</v>
      </c>
      <c r="E59" s="7" t="s">
        <v>31</v>
      </c>
      <c r="F59" s="6" t="s">
        <v>416</v>
      </c>
      <c r="G59" s="6" t="s">
        <v>417</v>
      </c>
      <c r="H59" s="6" t="s">
        <v>418</v>
      </c>
      <c r="I59" s="6" t="s">
        <v>419</v>
      </c>
      <c r="J59" s="6" t="s">
        <v>420</v>
      </c>
      <c r="K59" s="6" t="s">
        <v>25</v>
      </c>
      <c r="L59" s="6" t="s">
        <v>26</v>
      </c>
      <c r="M59" s="6" t="s">
        <v>421</v>
      </c>
      <c r="N59" s="10" t="s">
        <v>422</v>
      </c>
      <c r="O59" s="8" t="s">
        <v>423</v>
      </c>
    </row>
    <row r="60" customFormat="false" ht="57" hidden="false" customHeight="true" outlineLevel="0" collapsed="false">
      <c r="A60" s="3" t="s">
        <v>309</v>
      </c>
      <c r="B60" s="4" t="s">
        <v>424</v>
      </c>
      <c r="C60" s="4" t="s">
        <v>311</v>
      </c>
      <c r="D60" s="4" t="s">
        <v>18</v>
      </c>
      <c r="E60" s="7" t="s">
        <v>31</v>
      </c>
      <c r="F60" s="6" t="s">
        <v>425</v>
      </c>
      <c r="G60" s="6" t="s">
        <v>426</v>
      </c>
      <c r="H60" s="6" t="s">
        <v>427</v>
      </c>
      <c r="I60" s="6" t="s">
        <v>428</v>
      </c>
      <c r="J60" s="6" t="s">
        <v>429</v>
      </c>
      <c r="K60" s="4" t="s">
        <v>25</v>
      </c>
      <c r="L60" s="6" t="s">
        <v>430</v>
      </c>
      <c r="M60" s="6" t="s">
        <v>431</v>
      </c>
      <c r="N60" s="10" t="s">
        <v>432</v>
      </c>
      <c r="O60" s="8" t="s">
        <v>433</v>
      </c>
    </row>
    <row r="61" customFormat="false" ht="57" hidden="false" customHeight="true" outlineLevel="0" collapsed="false">
      <c r="A61" s="3" t="s">
        <v>309</v>
      </c>
      <c r="B61" s="6" t="s">
        <v>434</v>
      </c>
      <c r="C61" s="6" t="s">
        <v>353</v>
      </c>
      <c r="D61" s="6" t="s">
        <v>18</v>
      </c>
      <c r="E61" s="7" t="s">
        <v>31</v>
      </c>
      <c r="F61" s="6" t="s">
        <v>435</v>
      </c>
      <c r="G61" s="6" t="s">
        <v>436</v>
      </c>
      <c r="H61" s="6" t="s">
        <v>437</v>
      </c>
      <c r="I61" s="6" t="s">
        <v>438</v>
      </c>
      <c r="J61" s="6" t="s">
        <v>439</v>
      </c>
      <c r="K61" s="6" t="s">
        <v>25</v>
      </c>
      <c r="L61" s="6" t="s">
        <v>245</v>
      </c>
      <c r="M61" s="6" t="s">
        <v>440</v>
      </c>
      <c r="N61" s="10" t="s">
        <v>441</v>
      </c>
      <c r="O61" s="8" t="s">
        <v>442</v>
      </c>
    </row>
    <row r="62" customFormat="false" ht="23.25" hidden="false" customHeight="true" outlineLevel="0" collapsed="false">
      <c r="A62" s="3" t="s">
        <v>309</v>
      </c>
      <c r="B62" s="4" t="s">
        <v>443</v>
      </c>
      <c r="C62" s="4" t="s">
        <v>444</v>
      </c>
      <c r="D62" s="4" t="s">
        <v>18</v>
      </c>
      <c r="E62" s="7" t="s">
        <v>31</v>
      </c>
      <c r="F62" s="6" t="s">
        <v>445</v>
      </c>
      <c r="G62" s="6" t="s">
        <v>446</v>
      </c>
      <c r="H62" s="6" t="s">
        <v>447</v>
      </c>
      <c r="I62" s="6" t="s">
        <v>448</v>
      </c>
      <c r="J62" s="6" t="s">
        <v>449</v>
      </c>
      <c r="K62" s="4" t="s">
        <v>25</v>
      </c>
      <c r="L62" s="6" t="s">
        <v>430</v>
      </c>
      <c r="M62" s="6" t="s">
        <v>450</v>
      </c>
      <c r="N62" s="6" t="s">
        <v>97</v>
      </c>
      <c r="O62" s="6" t="s">
        <v>29</v>
      </c>
    </row>
    <row r="63" customFormat="false" ht="23.25" hidden="false" customHeight="true" outlineLevel="0" collapsed="false">
      <c r="A63" s="3" t="s">
        <v>309</v>
      </c>
      <c r="B63" s="6" t="s">
        <v>451</v>
      </c>
      <c r="C63" s="6" t="s">
        <v>360</v>
      </c>
      <c r="D63" s="6" t="s">
        <v>18</v>
      </c>
      <c r="E63" s="7" t="s">
        <v>31</v>
      </c>
      <c r="F63" s="6" t="s">
        <v>452</v>
      </c>
      <c r="G63" s="6" t="s">
        <v>453</v>
      </c>
      <c r="H63" s="6" t="s">
        <v>454</v>
      </c>
      <c r="I63" s="6" t="s">
        <v>455</v>
      </c>
      <c r="J63" s="6" t="s">
        <v>456</v>
      </c>
      <c r="K63" s="6" t="s">
        <v>43</v>
      </c>
      <c r="L63" s="6" t="s">
        <v>69</v>
      </c>
      <c r="M63" s="6" t="s">
        <v>457</v>
      </c>
      <c r="N63" s="10" t="s">
        <v>458</v>
      </c>
      <c r="O63" s="8" t="s">
        <v>459</v>
      </c>
    </row>
    <row r="64" customFormat="false" ht="23.25" hidden="false" customHeight="true" outlineLevel="0" collapsed="false">
      <c r="A64" s="3" t="s">
        <v>309</v>
      </c>
      <c r="B64" s="4" t="s">
        <v>460</v>
      </c>
      <c r="C64" s="4" t="s">
        <v>360</v>
      </c>
      <c r="D64" s="4" t="s">
        <v>18</v>
      </c>
      <c r="E64" s="5" t="s">
        <v>19</v>
      </c>
      <c r="F64" s="6" t="s">
        <v>461</v>
      </c>
      <c r="G64" s="6" t="s">
        <v>462</v>
      </c>
      <c r="H64" s="6" t="s">
        <v>463</v>
      </c>
      <c r="I64" s="6" t="s">
        <v>464</v>
      </c>
      <c r="J64" s="6" t="s">
        <v>465</v>
      </c>
      <c r="K64" s="4" t="s">
        <v>43</v>
      </c>
      <c r="L64" s="6" t="s">
        <v>26</v>
      </c>
      <c r="M64" s="6" t="s">
        <v>466</v>
      </c>
      <c r="N64" s="10" t="s">
        <v>467</v>
      </c>
      <c r="O64" s="8" t="s">
        <v>459</v>
      </c>
    </row>
    <row r="65" customFormat="false" ht="23.25" hidden="false" customHeight="true" outlineLevel="0" collapsed="false">
      <c r="A65" s="3" t="s">
        <v>468</v>
      </c>
      <c r="B65" s="6" t="s">
        <v>469</v>
      </c>
      <c r="C65" s="6" t="s">
        <v>470</v>
      </c>
      <c r="D65" s="6" t="s">
        <v>471</v>
      </c>
      <c r="E65" s="5" t="s">
        <v>19</v>
      </c>
      <c r="F65" s="6" t="s">
        <v>472</v>
      </c>
      <c r="G65" s="6" t="s">
        <v>473</v>
      </c>
      <c r="H65" s="6" t="s">
        <v>474</v>
      </c>
      <c r="I65" s="6" t="s">
        <v>475</v>
      </c>
      <c r="J65" s="6" t="s">
        <v>476</v>
      </c>
      <c r="K65" s="6" t="s">
        <v>25</v>
      </c>
      <c r="L65" s="6" t="s">
        <v>245</v>
      </c>
      <c r="M65" s="6" t="s">
        <v>27</v>
      </c>
      <c r="N65" s="6" t="s">
        <v>28</v>
      </c>
      <c r="O65" s="6" t="s">
        <v>29</v>
      </c>
    </row>
    <row r="66" customFormat="false" ht="23.25" hidden="false" customHeight="true" outlineLevel="0" collapsed="false">
      <c r="A66" s="3" t="s">
        <v>468</v>
      </c>
      <c r="B66" s="4" t="s">
        <v>477</v>
      </c>
      <c r="C66" s="4" t="s">
        <v>478</v>
      </c>
      <c r="D66" s="4" t="s">
        <v>18</v>
      </c>
      <c r="E66" s="5" t="s">
        <v>19</v>
      </c>
      <c r="F66" s="6" t="s">
        <v>479</v>
      </c>
      <c r="G66" s="6" t="s">
        <v>480</v>
      </c>
      <c r="H66" s="6" t="s">
        <v>481</v>
      </c>
      <c r="I66" s="6" t="s">
        <v>482</v>
      </c>
      <c r="J66" s="6" t="s">
        <v>483</v>
      </c>
      <c r="K66" s="4" t="s">
        <v>25</v>
      </c>
      <c r="L66" s="6" t="s">
        <v>245</v>
      </c>
      <c r="M66" s="6" t="s">
        <v>27</v>
      </c>
      <c r="N66" s="6" t="s">
        <v>28</v>
      </c>
      <c r="O66" s="6" t="s">
        <v>29</v>
      </c>
    </row>
    <row r="67" customFormat="false" ht="23.25" hidden="false" customHeight="true" outlineLevel="0" collapsed="false">
      <c r="A67" s="3" t="s">
        <v>468</v>
      </c>
      <c r="B67" s="6" t="s">
        <v>484</v>
      </c>
      <c r="C67" s="6" t="s">
        <v>485</v>
      </c>
      <c r="D67" s="6" t="s">
        <v>486</v>
      </c>
      <c r="E67" s="5" t="s">
        <v>19</v>
      </c>
      <c r="F67" s="6" t="s">
        <v>487</v>
      </c>
      <c r="G67" s="6" t="s">
        <v>488</v>
      </c>
      <c r="H67" s="6" t="s">
        <v>489</v>
      </c>
      <c r="I67" s="6" t="s">
        <v>490</v>
      </c>
      <c r="J67" s="6" t="s">
        <v>491</v>
      </c>
      <c r="K67" s="6" t="s">
        <v>25</v>
      </c>
      <c r="L67" s="6" t="s">
        <v>245</v>
      </c>
      <c r="M67" s="6" t="s">
        <v>27</v>
      </c>
      <c r="N67" s="6" t="s">
        <v>28</v>
      </c>
      <c r="O67" s="6" t="s">
        <v>492</v>
      </c>
    </row>
    <row r="68" customFormat="false" ht="23.25" hidden="false" customHeight="true" outlineLevel="0" collapsed="false">
      <c r="A68" s="3" t="s">
        <v>468</v>
      </c>
      <c r="B68" s="4" t="s">
        <v>493</v>
      </c>
      <c r="C68" s="4" t="s">
        <v>485</v>
      </c>
      <c r="D68" s="4" t="s">
        <v>18</v>
      </c>
      <c r="E68" s="5" t="s">
        <v>19</v>
      </c>
      <c r="F68" s="6" t="s">
        <v>494</v>
      </c>
      <c r="G68" s="6" t="s">
        <v>495</v>
      </c>
      <c r="H68" s="6" t="s">
        <v>496</v>
      </c>
      <c r="I68" s="6" t="s">
        <v>497</v>
      </c>
      <c r="J68" s="6" t="s">
        <v>498</v>
      </c>
      <c r="K68" s="4" t="s">
        <v>25</v>
      </c>
      <c r="L68" s="6" t="s">
        <v>245</v>
      </c>
      <c r="M68" s="6" t="s">
        <v>27</v>
      </c>
      <c r="N68" s="6" t="s">
        <v>28</v>
      </c>
      <c r="O68" s="6" t="s">
        <v>29</v>
      </c>
    </row>
    <row r="69" customFormat="false" ht="34.5" hidden="false" customHeight="true" outlineLevel="0" collapsed="false">
      <c r="A69" s="3" t="s">
        <v>468</v>
      </c>
      <c r="B69" s="6" t="s">
        <v>499</v>
      </c>
      <c r="C69" s="6" t="s">
        <v>500</v>
      </c>
      <c r="D69" s="6" t="s">
        <v>18</v>
      </c>
      <c r="E69" s="7" t="s">
        <v>31</v>
      </c>
      <c r="F69" s="6" t="s">
        <v>501</v>
      </c>
      <c r="G69" s="6" t="s">
        <v>502</v>
      </c>
      <c r="H69" s="6" t="s">
        <v>503</v>
      </c>
      <c r="I69" s="6" t="s">
        <v>504</v>
      </c>
      <c r="J69" s="6" t="s">
        <v>505</v>
      </c>
      <c r="K69" s="6" t="s">
        <v>43</v>
      </c>
      <c r="L69" s="6" t="s">
        <v>26</v>
      </c>
      <c r="M69" s="6" t="s">
        <v>27</v>
      </c>
      <c r="N69" s="6" t="s">
        <v>28</v>
      </c>
      <c r="O69" s="6" t="s">
        <v>29</v>
      </c>
    </row>
    <row r="70" customFormat="false" ht="45.75" hidden="false" customHeight="true" outlineLevel="0" collapsed="false">
      <c r="A70" s="3" t="s">
        <v>468</v>
      </c>
      <c r="B70" s="4" t="s">
        <v>506</v>
      </c>
      <c r="C70" s="4" t="s">
        <v>500</v>
      </c>
      <c r="D70" s="4" t="s">
        <v>18</v>
      </c>
      <c r="E70" s="5" t="s">
        <v>19</v>
      </c>
      <c r="F70" s="6" t="s">
        <v>507</v>
      </c>
      <c r="G70" s="6" t="s">
        <v>508</v>
      </c>
      <c r="H70" s="6" t="s">
        <v>509</v>
      </c>
      <c r="I70" s="6" t="s">
        <v>510</v>
      </c>
      <c r="J70" s="6" t="s">
        <v>511</v>
      </c>
      <c r="K70" s="4" t="s">
        <v>25</v>
      </c>
      <c r="L70" s="6" t="s">
        <v>245</v>
      </c>
      <c r="M70" s="6" t="s">
        <v>27</v>
      </c>
      <c r="N70" s="6" t="s">
        <v>28</v>
      </c>
      <c r="O70" s="6" t="s">
        <v>29</v>
      </c>
    </row>
    <row r="71" customFormat="false" ht="45.75" hidden="false" customHeight="true" outlineLevel="0" collapsed="false">
      <c r="A71" s="3" t="s">
        <v>468</v>
      </c>
      <c r="B71" s="6" t="s">
        <v>512</v>
      </c>
      <c r="C71" s="6" t="s">
        <v>58</v>
      </c>
      <c r="D71" s="6" t="s">
        <v>18</v>
      </c>
      <c r="E71" s="7" t="s">
        <v>31</v>
      </c>
      <c r="F71" s="6" t="s">
        <v>513</v>
      </c>
      <c r="G71" s="6" t="s">
        <v>191</v>
      </c>
      <c r="H71" s="6" t="s">
        <v>514</v>
      </c>
      <c r="I71" s="6" t="s">
        <v>128</v>
      </c>
      <c r="J71" s="6" t="s">
        <v>515</v>
      </c>
      <c r="K71" s="6" t="s">
        <v>210</v>
      </c>
      <c r="L71" s="6" t="s">
        <v>69</v>
      </c>
      <c r="M71" s="6" t="s">
        <v>27</v>
      </c>
      <c r="N71" s="6" t="s">
        <v>28</v>
      </c>
      <c r="O71" s="6" t="s">
        <v>29</v>
      </c>
    </row>
    <row r="72" customFormat="false" ht="34.5" hidden="false" customHeight="true" outlineLevel="0" collapsed="false">
      <c r="A72" s="3" t="s">
        <v>468</v>
      </c>
      <c r="B72" s="4" t="s">
        <v>516</v>
      </c>
      <c r="C72" s="4" t="s">
        <v>470</v>
      </c>
      <c r="D72" s="4" t="s">
        <v>471</v>
      </c>
      <c r="E72" s="5" t="s">
        <v>19</v>
      </c>
      <c r="F72" s="6" t="s">
        <v>517</v>
      </c>
      <c r="G72" s="6" t="s">
        <v>518</v>
      </c>
      <c r="H72" s="6" t="s">
        <v>519</v>
      </c>
      <c r="I72" s="6" t="s">
        <v>520</v>
      </c>
      <c r="J72" s="6" t="s">
        <v>521</v>
      </c>
      <c r="K72" s="4" t="s">
        <v>43</v>
      </c>
      <c r="L72" s="6" t="s">
        <v>26</v>
      </c>
      <c r="M72" s="6" t="s">
        <v>522</v>
      </c>
      <c r="N72" s="6" t="s">
        <v>97</v>
      </c>
      <c r="O72" s="6" t="s">
        <v>29</v>
      </c>
    </row>
    <row r="73" customFormat="false" ht="23.25" hidden="false" customHeight="true" outlineLevel="0" collapsed="false">
      <c r="A73" s="3" t="s">
        <v>468</v>
      </c>
      <c r="B73" s="6" t="s">
        <v>523</v>
      </c>
      <c r="C73" s="6" t="s">
        <v>524</v>
      </c>
      <c r="D73" s="6" t="s">
        <v>525</v>
      </c>
      <c r="E73" s="5" t="s">
        <v>19</v>
      </c>
      <c r="F73" s="6" t="s">
        <v>526</v>
      </c>
      <c r="G73" s="6" t="s">
        <v>527</v>
      </c>
      <c r="H73" s="6" t="s">
        <v>528</v>
      </c>
      <c r="I73" s="6" t="s">
        <v>529</v>
      </c>
      <c r="J73" s="6" t="s">
        <v>530</v>
      </c>
      <c r="K73" s="6" t="s">
        <v>25</v>
      </c>
      <c r="L73" s="6" t="s">
        <v>26</v>
      </c>
      <c r="M73" s="6" t="s">
        <v>531</v>
      </c>
      <c r="N73" s="6" t="s">
        <v>97</v>
      </c>
      <c r="O73" s="6" t="s">
        <v>29</v>
      </c>
    </row>
    <row r="74" customFormat="false" ht="23.25" hidden="false" customHeight="true" outlineLevel="0" collapsed="false">
      <c r="A74" s="3" t="s">
        <v>468</v>
      </c>
      <c r="B74" s="4" t="s">
        <v>532</v>
      </c>
      <c r="C74" s="4" t="s">
        <v>485</v>
      </c>
      <c r="D74" s="4" t="s">
        <v>486</v>
      </c>
      <c r="E74" s="7" t="s">
        <v>31</v>
      </c>
      <c r="F74" s="6" t="s">
        <v>533</v>
      </c>
      <c r="G74" s="6" t="s">
        <v>534</v>
      </c>
      <c r="H74" s="6" t="s">
        <v>535</v>
      </c>
      <c r="I74" s="6" t="s">
        <v>536</v>
      </c>
      <c r="J74" s="6" t="s">
        <v>537</v>
      </c>
      <c r="K74" s="4" t="s">
        <v>43</v>
      </c>
      <c r="L74" s="6" t="s">
        <v>26</v>
      </c>
      <c r="M74" s="6" t="s">
        <v>538</v>
      </c>
      <c r="N74" s="8" t="s">
        <v>539</v>
      </c>
      <c r="O74" s="9" t="s">
        <v>170</v>
      </c>
    </row>
    <row r="75" customFormat="false" ht="45.75" hidden="false" customHeight="true" outlineLevel="0" collapsed="false">
      <c r="A75" s="3" t="s">
        <v>468</v>
      </c>
      <c r="B75" s="6" t="s">
        <v>540</v>
      </c>
      <c r="C75" s="6" t="s">
        <v>541</v>
      </c>
      <c r="D75" s="6" t="s">
        <v>18</v>
      </c>
      <c r="E75" s="7" t="s">
        <v>31</v>
      </c>
      <c r="F75" s="6" t="s">
        <v>542</v>
      </c>
      <c r="G75" s="6" t="s">
        <v>543</v>
      </c>
      <c r="H75" s="6" t="s">
        <v>544</v>
      </c>
      <c r="I75" s="6" t="s">
        <v>545</v>
      </c>
      <c r="J75" s="6" t="s">
        <v>546</v>
      </c>
      <c r="K75" s="6" t="s">
        <v>25</v>
      </c>
      <c r="L75" s="6" t="s">
        <v>26</v>
      </c>
      <c r="M75" s="6" t="s">
        <v>547</v>
      </c>
      <c r="N75" s="6" t="s">
        <v>97</v>
      </c>
      <c r="O75" s="6" t="s">
        <v>29</v>
      </c>
    </row>
    <row r="76" customFormat="false" ht="57" hidden="false" customHeight="true" outlineLevel="0" collapsed="false">
      <c r="A76" s="3" t="s">
        <v>468</v>
      </c>
      <c r="B76" s="4" t="s">
        <v>548</v>
      </c>
      <c r="C76" s="4" t="s">
        <v>549</v>
      </c>
      <c r="D76" s="4" t="s">
        <v>18</v>
      </c>
      <c r="E76" s="7" t="s">
        <v>31</v>
      </c>
      <c r="F76" s="6" t="s">
        <v>550</v>
      </c>
      <c r="G76" s="6" t="s">
        <v>551</v>
      </c>
      <c r="H76" s="6" t="s">
        <v>552</v>
      </c>
      <c r="I76" s="6" t="s">
        <v>553</v>
      </c>
      <c r="J76" s="6" t="s">
        <v>554</v>
      </c>
      <c r="K76" s="4" t="s">
        <v>25</v>
      </c>
      <c r="L76" s="6" t="s">
        <v>245</v>
      </c>
      <c r="M76" s="6" t="s">
        <v>555</v>
      </c>
      <c r="N76" s="7" t="s">
        <v>556</v>
      </c>
      <c r="O76" s="8" t="s">
        <v>557</v>
      </c>
    </row>
    <row r="77" customFormat="false" ht="45.75" hidden="false" customHeight="true" outlineLevel="0" collapsed="false">
      <c r="A77" s="3" t="s">
        <v>468</v>
      </c>
      <c r="B77" s="6" t="s">
        <v>558</v>
      </c>
      <c r="C77" s="6" t="s">
        <v>212</v>
      </c>
      <c r="D77" s="6" t="s">
        <v>18</v>
      </c>
      <c r="E77" s="7" t="s">
        <v>31</v>
      </c>
      <c r="F77" s="6" t="s">
        <v>559</v>
      </c>
      <c r="G77" s="6" t="s">
        <v>560</v>
      </c>
      <c r="H77" s="6" t="s">
        <v>561</v>
      </c>
      <c r="I77" s="6" t="s">
        <v>562</v>
      </c>
      <c r="J77" s="6" t="s">
        <v>563</v>
      </c>
      <c r="K77" s="6" t="s">
        <v>25</v>
      </c>
      <c r="L77" s="6" t="s">
        <v>26</v>
      </c>
      <c r="M77" s="6" t="s">
        <v>564</v>
      </c>
      <c r="N77" s="7" t="s">
        <v>565</v>
      </c>
      <c r="O77" s="7" t="s">
        <v>566</v>
      </c>
    </row>
    <row r="78" customFormat="false" ht="34.5" hidden="false" customHeight="true" outlineLevel="0" collapsed="false">
      <c r="A78" s="3" t="s">
        <v>468</v>
      </c>
      <c r="B78" s="4" t="s">
        <v>567</v>
      </c>
      <c r="C78" s="4" t="s">
        <v>212</v>
      </c>
      <c r="D78" s="4" t="s">
        <v>18</v>
      </c>
      <c r="E78" s="7" t="s">
        <v>31</v>
      </c>
      <c r="F78" s="6" t="s">
        <v>568</v>
      </c>
      <c r="G78" s="6" t="s">
        <v>569</v>
      </c>
      <c r="H78" s="6" t="s">
        <v>570</v>
      </c>
      <c r="I78" s="6" t="s">
        <v>571</v>
      </c>
      <c r="J78" s="6" t="s">
        <v>572</v>
      </c>
      <c r="K78" s="4" t="s">
        <v>25</v>
      </c>
      <c r="L78" s="6" t="s">
        <v>26</v>
      </c>
      <c r="M78" s="6" t="s">
        <v>573</v>
      </c>
      <c r="N78" s="7" t="s">
        <v>574</v>
      </c>
      <c r="O78" s="7" t="s">
        <v>575</v>
      </c>
    </row>
    <row r="79" customFormat="false" ht="45.75" hidden="false" customHeight="true" outlineLevel="0" collapsed="false">
      <c r="A79" s="3" t="s">
        <v>468</v>
      </c>
      <c r="B79" s="6" t="s">
        <v>576</v>
      </c>
      <c r="C79" s="6" t="s">
        <v>577</v>
      </c>
      <c r="D79" s="6" t="s">
        <v>239</v>
      </c>
      <c r="E79" s="7" t="s">
        <v>31</v>
      </c>
      <c r="F79" s="6" t="s">
        <v>578</v>
      </c>
      <c r="G79" s="6" t="s">
        <v>579</v>
      </c>
      <c r="H79" s="6" t="s">
        <v>580</v>
      </c>
      <c r="I79" s="6" t="s">
        <v>581</v>
      </c>
      <c r="J79" s="6" t="s">
        <v>582</v>
      </c>
      <c r="K79" s="6" t="s">
        <v>25</v>
      </c>
      <c r="L79" s="6" t="s">
        <v>430</v>
      </c>
      <c r="M79" s="6" t="s">
        <v>583</v>
      </c>
      <c r="N79" s="7" t="s">
        <v>584</v>
      </c>
      <c r="O79" s="8" t="s">
        <v>585</v>
      </c>
    </row>
    <row r="80" customFormat="false" ht="45.75" hidden="false" customHeight="true" outlineLevel="0" collapsed="false">
      <c r="A80" s="3" t="s">
        <v>468</v>
      </c>
      <c r="B80" s="4" t="s">
        <v>586</v>
      </c>
      <c r="C80" s="4" t="s">
        <v>500</v>
      </c>
      <c r="D80" s="4" t="s">
        <v>18</v>
      </c>
      <c r="E80" s="7" t="s">
        <v>31</v>
      </c>
      <c r="F80" s="6" t="s">
        <v>587</v>
      </c>
      <c r="G80" s="6" t="s">
        <v>588</v>
      </c>
      <c r="H80" s="6" t="s">
        <v>589</v>
      </c>
      <c r="I80" s="6" t="s">
        <v>590</v>
      </c>
      <c r="J80" s="6" t="s">
        <v>591</v>
      </c>
      <c r="K80" s="4" t="s">
        <v>25</v>
      </c>
      <c r="L80" s="6" t="s">
        <v>430</v>
      </c>
      <c r="M80" s="6" t="s">
        <v>592</v>
      </c>
      <c r="N80" s="8" t="s">
        <v>593</v>
      </c>
      <c r="O80" s="9" t="s">
        <v>170</v>
      </c>
    </row>
    <row r="81" customFormat="false" ht="34.5" hidden="false" customHeight="true" outlineLevel="0" collapsed="false">
      <c r="A81" s="3" t="s">
        <v>468</v>
      </c>
      <c r="B81" s="6" t="s">
        <v>594</v>
      </c>
      <c r="C81" s="6" t="s">
        <v>485</v>
      </c>
      <c r="D81" s="6" t="s">
        <v>595</v>
      </c>
      <c r="E81" s="5" t="s">
        <v>19</v>
      </c>
      <c r="F81" s="6" t="s">
        <v>596</v>
      </c>
      <c r="G81" s="6" t="s">
        <v>597</v>
      </c>
      <c r="H81" s="6" t="s">
        <v>598</v>
      </c>
      <c r="I81" s="6" t="s">
        <v>599</v>
      </c>
      <c r="J81" s="6" t="s">
        <v>600</v>
      </c>
      <c r="K81" s="6" t="s">
        <v>25</v>
      </c>
      <c r="L81" s="6" t="s">
        <v>601</v>
      </c>
      <c r="M81" s="6" t="s">
        <v>602</v>
      </c>
      <c r="N81" s="7" t="s">
        <v>603</v>
      </c>
      <c r="O81" s="8" t="s">
        <v>604</v>
      </c>
    </row>
    <row r="82" customFormat="false" ht="23.25" hidden="false" customHeight="true" outlineLevel="0" collapsed="false">
      <c r="A82" s="3" t="s">
        <v>468</v>
      </c>
      <c r="B82" s="4" t="s">
        <v>605</v>
      </c>
      <c r="C82" s="4" t="s">
        <v>606</v>
      </c>
      <c r="D82" s="4" t="s">
        <v>606</v>
      </c>
      <c r="E82" s="7" t="s">
        <v>31</v>
      </c>
      <c r="F82" s="6" t="s">
        <v>607</v>
      </c>
      <c r="G82" s="6" t="s">
        <v>608</v>
      </c>
      <c r="H82" s="6" t="s">
        <v>609</v>
      </c>
      <c r="I82" s="6" t="s">
        <v>599</v>
      </c>
      <c r="J82" s="6" t="s">
        <v>610</v>
      </c>
      <c r="K82" s="4" t="s">
        <v>25</v>
      </c>
      <c r="L82" s="6" t="s">
        <v>601</v>
      </c>
      <c r="M82" s="6" t="s">
        <v>611</v>
      </c>
      <c r="N82" s="8" t="s">
        <v>612</v>
      </c>
      <c r="O82" s="9" t="s">
        <v>170</v>
      </c>
    </row>
    <row r="83" customFormat="false" ht="23.25" hidden="false" customHeight="true" outlineLevel="0" collapsed="false">
      <c r="A83" s="3" t="s">
        <v>468</v>
      </c>
      <c r="B83" s="6" t="s">
        <v>613</v>
      </c>
      <c r="C83" s="6" t="s">
        <v>105</v>
      </c>
      <c r="D83" s="6" t="s">
        <v>105</v>
      </c>
      <c r="E83" s="7" t="s">
        <v>31</v>
      </c>
      <c r="F83" s="6" t="s">
        <v>614</v>
      </c>
      <c r="G83" s="6" t="s">
        <v>615</v>
      </c>
      <c r="H83" s="6" t="s">
        <v>616</v>
      </c>
      <c r="I83" s="6" t="s">
        <v>617</v>
      </c>
      <c r="J83" s="6" t="s">
        <v>618</v>
      </c>
      <c r="K83" s="6" t="s">
        <v>25</v>
      </c>
      <c r="L83" s="6" t="s">
        <v>69</v>
      </c>
      <c r="M83" s="6" t="s">
        <v>619</v>
      </c>
      <c r="N83" s="7" t="s">
        <v>620</v>
      </c>
      <c r="O83" s="7" t="s">
        <v>270</v>
      </c>
    </row>
    <row r="84" customFormat="false" ht="23.25" hidden="false" customHeight="true" outlineLevel="0" collapsed="false">
      <c r="A84" s="3" t="s">
        <v>468</v>
      </c>
      <c r="B84" s="4" t="s">
        <v>621</v>
      </c>
      <c r="C84" s="4" t="s">
        <v>212</v>
      </c>
      <c r="D84" s="4" t="s">
        <v>18</v>
      </c>
      <c r="E84" s="7" t="s">
        <v>31</v>
      </c>
      <c r="F84" s="6" t="s">
        <v>622</v>
      </c>
      <c r="G84" s="6" t="s">
        <v>623</v>
      </c>
      <c r="H84" s="6" t="s">
        <v>624</v>
      </c>
      <c r="I84" s="6" t="s">
        <v>625</v>
      </c>
      <c r="J84" s="6" t="s">
        <v>626</v>
      </c>
      <c r="K84" s="4" t="s">
        <v>43</v>
      </c>
      <c r="L84" s="6" t="s">
        <v>430</v>
      </c>
      <c r="M84" s="6" t="s">
        <v>450</v>
      </c>
      <c r="N84" s="6" t="s">
        <v>97</v>
      </c>
      <c r="O84" s="6" t="s">
        <v>29</v>
      </c>
    </row>
    <row r="85" customFormat="false" ht="23.25" hidden="false" customHeight="true" outlineLevel="0" collapsed="false">
      <c r="A85" s="3" t="s">
        <v>627</v>
      </c>
      <c r="B85" s="6" t="s">
        <v>628</v>
      </c>
      <c r="C85" s="6" t="s">
        <v>629</v>
      </c>
      <c r="D85" s="6" t="s">
        <v>18</v>
      </c>
      <c r="E85" s="5" t="s">
        <v>19</v>
      </c>
      <c r="F85" s="6" t="s">
        <v>630</v>
      </c>
      <c r="G85" s="6" t="s">
        <v>197</v>
      </c>
      <c r="H85" s="6" t="s">
        <v>631</v>
      </c>
      <c r="I85" s="6" t="s">
        <v>632</v>
      </c>
      <c r="J85" s="6" t="s">
        <v>633</v>
      </c>
      <c r="K85" s="6" t="s">
        <v>25</v>
      </c>
      <c r="L85" s="6" t="s">
        <v>26</v>
      </c>
      <c r="M85" s="6" t="s">
        <v>27</v>
      </c>
      <c r="N85" s="6" t="s">
        <v>28</v>
      </c>
      <c r="O85" s="6" t="s">
        <v>29</v>
      </c>
    </row>
    <row r="86" customFormat="false" ht="23.25" hidden="false" customHeight="true" outlineLevel="0" collapsed="false">
      <c r="A86" s="3" t="s">
        <v>627</v>
      </c>
      <c r="B86" s="4" t="s">
        <v>634</v>
      </c>
      <c r="C86" s="4" t="s">
        <v>629</v>
      </c>
      <c r="D86" s="4" t="s">
        <v>18</v>
      </c>
      <c r="E86" s="7" t="s">
        <v>31</v>
      </c>
      <c r="F86" s="6" t="s">
        <v>635</v>
      </c>
      <c r="G86" s="6" t="s">
        <v>197</v>
      </c>
      <c r="H86" s="6" t="s">
        <v>636</v>
      </c>
      <c r="I86" s="6" t="s">
        <v>637</v>
      </c>
      <c r="J86" s="6" t="s">
        <v>42</v>
      </c>
      <c r="K86" s="4" t="s">
        <v>210</v>
      </c>
      <c r="L86" s="6" t="s">
        <v>26</v>
      </c>
      <c r="M86" s="6" t="s">
        <v>27</v>
      </c>
      <c r="N86" s="6" t="s">
        <v>28</v>
      </c>
      <c r="O86" s="6" t="s">
        <v>29</v>
      </c>
    </row>
    <row r="87" customFormat="false" ht="23.25" hidden="false" customHeight="true" outlineLevel="0" collapsed="false">
      <c r="A87" s="3" t="s">
        <v>627</v>
      </c>
      <c r="B87" s="6" t="s">
        <v>638</v>
      </c>
      <c r="C87" s="6" t="s">
        <v>629</v>
      </c>
      <c r="D87" s="6" t="s">
        <v>18</v>
      </c>
      <c r="E87" s="7" t="s">
        <v>31</v>
      </c>
      <c r="F87" s="6" t="s">
        <v>639</v>
      </c>
      <c r="G87" s="6" t="s">
        <v>640</v>
      </c>
      <c r="H87" s="6" t="s">
        <v>641</v>
      </c>
      <c r="I87" s="6" t="s">
        <v>642</v>
      </c>
      <c r="J87" s="6" t="s">
        <v>643</v>
      </c>
      <c r="K87" s="6" t="s">
        <v>210</v>
      </c>
      <c r="L87" s="6" t="s">
        <v>26</v>
      </c>
      <c r="M87" s="6" t="s">
        <v>27</v>
      </c>
      <c r="N87" s="6" t="s">
        <v>28</v>
      </c>
      <c r="O87" s="6" t="s">
        <v>29</v>
      </c>
    </row>
    <row r="88" customFormat="false" ht="23.25" hidden="false" customHeight="true" outlineLevel="0" collapsed="false">
      <c r="A88" s="3" t="s">
        <v>627</v>
      </c>
      <c r="B88" s="4" t="s">
        <v>644</v>
      </c>
      <c r="C88" s="4" t="s">
        <v>212</v>
      </c>
      <c r="D88" s="4" t="s">
        <v>18</v>
      </c>
      <c r="E88" s="5" t="s">
        <v>19</v>
      </c>
      <c r="F88" s="6" t="s">
        <v>645</v>
      </c>
      <c r="G88" s="6" t="s">
        <v>646</v>
      </c>
      <c r="H88" s="6" t="s">
        <v>647</v>
      </c>
      <c r="I88" s="6" t="s">
        <v>648</v>
      </c>
      <c r="J88" s="6" t="s">
        <v>649</v>
      </c>
      <c r="K88" s="4" t="s">
        <v>43</v>
      </c>
      <c r="L88" s="6" t="s">
        <v>26</v>
      </c>
      <c r="M88" s="6" t="s">
        <v>27</v>
      </c>
      <c r="N88" s="6" t="s">
        <v>28</v>
      </c>
      <c r="O88" s="6" t="s">
        <v>29</v>
      </c>
    </row>
    <row r="89" customFormat="false" ht="23.25" hidden="false" customHeight="true" outlineLevel="0" collapsed="false">
      <c r="A89" s="3" t="s">
        <v>627</v>
      </c>
      <c r="B89" s="6" t="s">
        <v>650</v>
      </c>
      <c r="C89" s="6" t="s">
        <v>651</v>
      </c>
      <c r="D89" s="6" t="s">
        <v>471</v>
      </c>
      <c r="E89" s="5" t="s">
        <v>19</v>
      </c>
      <c r="F89" s="6" t="s">
        <v>652</v>
      </c>
      <c r="G89" s="6" t="s">
        <v>653</v>
      </c>
      <c r="H89" s="6" t="s">
        <v>654</v>
      </c>
      <c r="I89" s="6" t="s">
        <v>655</v>
      </c>
      <c r="J89" s="6" t="s">
        <v>656</v>
      </c>
      <c r="K89" s="6" t="s">
        <v>43</v>
      </c>
      <c r="L89" s="6" t="s">
        <v>26</v>
      </c>
      <c r="M89" s="6" t="s">
        <v>27</v>
      </c>
      <c r="N89" s="6" t="s">
        <v>28</v>
      </c>
      <c r="O89" s="6" t="s">
        <v>29</v>
      </c>
    </row>
    <row r="90" customFormat="false" ht="23.25" hidden="false" customHeight="true" outlineLevel="0" collapsed="false">
      <c r="A90" s="3" t="s">
        <v>627</v>
      </c>
      <c r="B90" s="4" t="s">
        <v>657</v>
      </c>
      <c r="C90" s="4" t="s">
        <v>629</v>
      </c>
      <c r="D90" s="4" t="s">
        <v>18</v>
      </c>
      <c r="E90" s="7" t="s">
        <v>31</v>
      </c>
      <c r="F90" s="6" t="s">
        <v>658</v>
      </c>
      <c r="G90" s="6" t="s">
        <v>283</v>
      </c>
      <c r="H90" s="6" t="s">
        <v>659</v>
      </c>
      <c r="I90" s="6" t="s">
        <v>660</v>
      </c>
      <c r="J90" s="6" t="s">
        <v>661</v>
      </c>
      <c r="K90" s="4" t="s">
        <v>43</v>
      </c>
      <c r="L90" s="6" t="s">
        <v>26</v>
      </c>
      <c r="M90" s="6" t="s">
        <v>662</v>
      </c>
      <c r="N90" s="6" t="s">
        <v>97</v>
      </c>
      <c r="O90" s="6" t="s">
        <v>29</v>
      </c>
    </row>
    <row r="91" customFormat="false" ht="45.75" hidden="false" customHeight="true" outlineLevel="0" collapsed="false">
      <c r="A91" s="3" t="s">
        <v>627</v>
      </c>
      <c r="B91" s="6" t="s">
        <v>663</v>
      </c>
      <c r="C91" s="6" t="s">
        <v>629</v>
      </c>
      <c r="D91" s="6" t="s">
        <v>105</v>
      </c>
      <c r="E91" s="7" t="s">
        <v>31</v>
      </c>
      <c r="F91" s="6" t="s">
        <v>664</v>
      </c>
      <c r="G91" s="6" t="s">
        <v>283</v>
      </c>
      <c r="H91" s="6" t="s">
        <v>665</v>
      </c>
      <c r="I91" s="6" t="s">
        <v>666</v>
      </c>
      <c r="J91" s="6" t="s">
        <v>667</v>
      </c>
      <c r="K91" s="6" t="s">
        <v>43</v>
      </c>
      <c r="L91" s="6" t="s">
        <v>120</v>
      </c>
      <c r="M91" s="6" t="s">
        <v>121</v>
      </c>
      <c r="N91" s="7" t="s">
        <v>668</v>
      </c>
      <c r="O91" s="7" t="s">
        <v>669</v>
      </c>
    </row>
    <row r="92" customFormat="false" ht="15" hidden="false" customHeight="true" outlineLevel="0" collapsed="false">
      <c r="A92" s="3" t="s">
        <v>627</v>
      </c>
      <c r="B92" s="4" t="s">
        <v>670</v>
      </c>
      <c r="C92" s="4" t="s">
        <v>629</v>
      </c>
      <c r="D92" s="4" t="s">
        <v>105</v>
      </c>
      <c r="E92" s="7" t="s">
        <v>31</v>
      </c>
      <c r="F92" s="6" t="s">
        <v>671</v>
      </c>
      <c r="G92" s="6" t="s">
        <v>283</v>
      </c>
      <c r="H92" s="6" t="s">
        <v>672</v>
      </c>
      <c r="I92" s="6" t="s">
        <v>673</v>
      </c>
      <c r="J92" s="6" t="s">
        <v>667</v>
      </c>
      <c r="K92" s="4" t="s">
        <v>43</v>
      </c>
      <c r="L92" s="6" t="s">
        <v>120</v>
      </c>
      <c r="M92" s="6" t="s">
        <v>121</v>
      </c>
      <c r="N92" s="7" t="s">
        <v>668</v>
      </c>
      <c r="O92" s="7" t="s">
        <v>270</v>
      </c>
    </row>
    <row r="93" customFormat="false" ht="23.25" hidden="false" customHeight="true" outlineLevel="0" collapsed="false">
      <c r="A93" s="3" t="s">
        <v>627</v>
      </c>
      <c r="B93" s="6" t="s">
        <v>674</v>
      </c>
      <c r="C93" s="6" t="s">
        <v>629</v>
      </c>
      <c r="D93" s="6" t="s">
        <v>18</v>
      </c>
      <c r="E93" s="5" t="s">
        <v>19</v>
      </c>
      <c r="F93" s="6" t="s">
        <v>675</v>
      </c>
      <c r="G93" s="6" t="s">
        <v>283</v>
      </c>
      <c r="H93" s="6" t="s">
        <v>676</v>
      </c>
      <c r="I93" s="6" t="s">
        <v>677</v>
      </c>
      <c r="J93" s="6" t="s">
        <v>678</v>
      </c>
      <c r="K93" s="6" t="s">
        <v>210</v>
      </c>
      <c r="L93" s="6" t="s">
        <v>120</v>
      </c>
      <c r="M93" s="6" t="s">
        <v>121</v>
      </c>
      <c r="N93" s="6" t="s">
        <v>97</v>
      </c>
      <c r="O93" s="6" t="s">
        <v>29</v>
      </c>
    </row>
    <row r="94" customFormat="false" ht="23.25" hidden="false" customHeight="true" outlineLevel="0" collapsed="false">
      <c r="A94" s="3" t="s">
        <v>627</v>
      </c>
      <c r="B94" s="4" t="s">
        <v>679</v>
      </c>
      <c r="C94" s="4" t="s">
        <v>629</v>
      </c>
      <c r="D94" s="4" t="s">
        <v>18</v>
      </c>
      <c r="E94" s="5" t="s">
        <v>19</v>
      </c>
      <c r="F94" s="6" t="s">
        <v>680</v>
      </c>
      <c r="G94" s="6" t="s">
        <v>681</v>
      </c>
      <c r="H94" s="6" t="s">
        <v>682</v>
      </c>
      <c r="I94" s="6" t="s">
        <v>683</v>
      </c>
      <c r="J94" s="6" t="s">
        <v>684</v>
      </c>
      <c r="K94" s="4" t="s">
        <v>43</v>
      </c>
      <c r="L94" s="6" t="s">
        <v>26</v>
      </c>
      <c r="M94" s="6" t="s">
        <v>121</v>
      </c>
      <c r="N94" s="6" t="s">
        <v>97</v>
      </c>
      <c r="O94" s="6" t="s">
        <v>29</v>
      </c>
    </row>
    <row r="95" customFormat="false" ht="23.25" hidden="false" customHeight="true" outlineLevel="0" collapsed="false">
      <c r="A95" s="3" t="s">
        <v>627</v>
      </c>
      <c r="B95" s="6" t="s">
        <v>685</v>
      </c>
      <c r="C95" s="6" t="s">
        <v>629</v>
      </c>
      <c r="D95" s="6" t="s">
        <v>51</v>
      </c>
      <c r="E95" s="7" t="s">
        <v>31</v>
      </c>
      <c r="F95" s="6" t="s">
        <v>686</v>
      </c>
      <c r="G95" s="6" t="s">
        <v>39</v>
      </c>
      <c r="H95" s="6" t="s">
        <v>687</v>
      </c>
      <c r="I95" s="6" t="s">
        <v>688</v>
      </c>
      <c r="J95" s="6" t="s">
        <v>68</v>
      </c>
      <c r="K95" s="6" t="s">
        <v>25</v>
      </c>
      <c r="L95" s="6" t="s">
        <v>69</v>
      </c>
      <c r="M95" s="6" t="s">
        <v>689</v>
      </c>
      <c r="N95" s="6" t="s">
        <v>97</v>
      </c>
      <c r="O95" s="6" t="s">
        <v>29</v>
      </c>
    </row>
    <row r="96" customFormat="false" ht="23.25" hidden="false" customHeight="true" outlineLevel="0" collapsed="false">
      <c r="A96" s="3" t="s">
        <v>627</v>
      </c>
      <c r="B96" s="4" t="s">
        <v>690</v>
      </c>
      <c r="C96" s="4" t="s">
        <v>629</v>
      </c>
      <c r="D96" s="4" t="s">
        <v>51</v>
      </c>
      <c r="E96" s="7" t="s">
        <v>31</v>
      </c>
      <c r="F96" s="6" t="s">
        <v>691</v>
      </c>
      <c r="G96" s="6" t="s">
        <v>191</v>
      </c>
      <c r="H96" s="6" t="s">
        <v>692</v>
      </c>
      <c r="I96" s="6" t="s">
        <v>693</v>
      </c>
      <c r="J96" s="6" t="s">
        <v>193</v>
      </c>
      <c r="K96" s="4" t="s">
        <v>43</v>
      </c>
      <c r="L96" s="6" t="s">
        <v>69</v>
      </c>
      <c r="M96" s="6" t="s">
        <v>121</v>
      </c>
      <c r="N96" s="8" t="s">
        <v>694</v>
      </c>
      <c r="O96" s="9" t="s">
        <v>170</v>
      </c>
    </row>
    <row r="97" customFormat="false" ht="23.25" hidden="false" customHeight="true" outlineLevel="0" collapsed="false">
      <c r="A97" s="3" t="s">
        <v>627</v>
      </c>
      <c r="B97" s="6" t="s">
        <v>695</v>
      </c>
      <c r="C97" s="6" t="s">
        <v>212</v>
      </c>
      <c r="D97" s="6" t="s">
        <v>18</v>
      </c>
      <c r="E97" s="5" t="s">
        <v>19</v>
      </c>
      <c r="F97" s="6" t="s">
        <v>696</v>
      </c>
      <c r="G97" s="6" t="s">
        <v>697</v>
      </c>
      <c r="H97" s="6" t="s">
        <v>698</v>
      </c>
      <c r="I97" s="6" t="s">
        <v>699</v>
      </c>
      <c r="J97" s="6" t="s">
        <v>700</v>
      </c>
      <c r="K97" s="6" t="s">
        <v>43</v>
      </c>
      <c r="L97" s="6" t="s">
        <v>26</v>
      </c>
      <c r="M97" s="6" t="s">
        <v>121</v>
      </c>
      <c r="N97" s="6" t="s">
        <v>97</v>
      </c>
      <c r="O97" s="6" t="s">
        <v>29</v>
      </c>
    </row>
    <row r="98" customFormat="false" ht="23.25" hidden="false" customHeight="true" outlineLevel="0" collapsed="false">
      <c r="A98" s="3" t="s">
        <v>627</v>
      </c>
      <c r="B98" s="4" t="s">
        <v>701</v>
      </c>
      <c r="C98" s="4" t="s">
        <v>212</v>
      </c>
      <c r="D98" s="4" t="s">
        <v>18</v>
      </c>
      <c r="E98" s="5" t="s">
        <v>19</v>
      </c>
      <c r="F98" s="6" t="s">
        <v>702</v>
      </c>
      <c r="G98" s="6" t="s">
        <v>703</v>
      </c>
      <c r="H98" s="6" t="s">
        <v>704</v>
      </c>
      <c r="I98" s="6" t="s">
        <v>705</v>
      </c>
      <c r="J98" s="6" t="s">
        <v>706</v>
      </c>
      <c r="K98" s="4" t="s">
        <v>43</v>
      </c>
      <c r="L98" s="6" t="s">
        <v>26</v>
      </c>
      <c r="M98" s="6" t="s">
        <v>121</v>
      </c>
      <c r="N98" s="6" t="s">
        <v>97</v>
      </c>
      <c r="O98" s="6" t="s">
        <v>29</v>
      </c>
    </row>
    <row r="99" customFormat="false" ht="34.5" hidden="false" customHeight="true" outlineLevel="0" collapsed="false">
      <c r="A99" s="3" t="s">
        <v>627</v>
      </c>
      <c r="B99" s="6" t="s">
        <v>707</v>
      </c>
      <c r="C99" s="6" t="s">
        <v>651</v>
      </c>
      <c r="D99" s="6" t="s">
        <v>18</v>
      </c>
      <c r="E99" s="5" t="s">
        <v>19</v>
      </c>
      <c r="F99" s="6" t="s">
        <v>708</v>
      </c>
      <c r="G99" s="6" t="s">
        <v>709</v>
      </c>
      <c r="H99" s="6" t="s">
        <v>654</v>
      </c>
      <c r="I99" s="6" t="s">
        <v>710</v>
      </c>
      <c r="J99" s="6" t="s">
        <v>711</v>
      </c>
      <c r="K99" s="6" t="s">
        <v>43</v>
      </c>
      <c r="L99" s="6" t="s">
        <v>26</v>
      </c>
      <c r="M99" s="6" t="s">
        <v>121</v>
      </c>
      <c r="N99" s="6" t="s">
        <v>97</v>
      </c>
      <c r="O99" s="6" t="s">
        <v>29</v>
      </c>
    </row>
    <row r="100" customFormat="false" ht="34.5" hidden="false" customHeight="true" outlineLevel="0" collapsed="false">
      <c r="A100" s="3" t="s">
        <v>627</v>
      </c>
      <c r="B100" s="4" t="s">
        <v>712</v>
      </c>
      <c r="C100" s="4" t="s">
        <v>212</v>
      </c>
      <c r="D100" s="4" t="s">
        <v>18</v>
      </c>
      <c r="E100" s="5" t="s">
        <v>19</v>
      </c>
      <c r="F100" s="6" t="s">
        <v>713</v>
      </c>
      <c r="G100" s="6" t="s">
        <v>714</v>
      </c>
      <c r="H100" s="6" t="s">
        <v>715</v>
      </c>
      <c r="I100" s="6" t="s">
        <v>716</v>
      </c>
      <c r="J100" s="6" t="s">
        <v>717</v>
      </c>
      <c r="K100" s="4" t="s">
        <v>43</v>
      </c>
      <c r="L100" s="6" t="s">
        <v>120</v>
      </c>
      <c r="M100" s="6" t="s">
        <v>121</v>
      </c>
      <c r="N100" s="6" t="s">
        <v>97</v>
      </c>
      <c r="O100" s="6" t="s">
        <v>29</v>
      </c>
    </row>
    <row r="101" customFormat="false" ht="34.5" hidden="false" customHeight="true" outlineLevel="0" collapsed="false">
      <c r="A101" s="3" t="s">
        <v>627</v>
      </c>
      <c r="B101" s="6" t="s">
        <v>718</v>
      </c>
      <c r="C101" s="6" t="s">
        <v>212</v>
      </c>
      <c r="D101" s="6" t="s">
        <v>18</v>
      </c>
      <c r="E101" s="5" t="s">
        <v>19</v>
      </c>
      <c r="F101" s="6" t="s">
        <v>719</v>
      </c>
      <c r="G101" s="6" t="s">
        <v>720</v>
      </c>
      <c r="H101" s="6" t="s">
        <v>721</v>
      </c>
      <c r="I101" s="6" t="s">
        <v>722</v>
      </c>
      <c r="J101" s="6" t="s">
        <v>723</v>
      </c>
      <c r="K101" s="6" t="s">
        <v>210</v>
      </c>
      <c r="L101" s="6" t="s">
        <v>120</v>
      </c>
      <c r="M101" s="6" t="s">
        <v>121</v>
      </c>
      <c r="N101" s="6" t="s">
        <v>97</v>
      </c>
      <c r="O101" s="6" t="s">
        <v>29</v>
      </c>
    </row>
    <row r="102" customFormat="false" ht="34.5" hidden="false" customHeight="true" outlineLevel="0" collapsed="false">
      <c r="A102" s="3" t="s">
        <v>627</v>
      </c>
      <c r="B102" s="4" t="s">
        <v>724</v>
      </c>
      <c r="C102" s="4" t="s">
        <v>212</v>
      </c>
      <c r="D102" s="4" t="s">
        <v>105</v>
      </c>
      <c r="E102" s="7" t="s">
        <v>31</v>
      </c>
      <c r="F102" s="6" t="s">
        <v>725</v>
      </c>
      <c r="G102" s="6" t="s">
        <v>726</v>
      </c>
      <c r="H102" s="6" t="s">
        <v>727</v>
      </c>
      <c r="I102" s="6" t="s">
        <v>728</v>
      </c>
      <c r="J102" s="6" t="s">
        <v>729</v>
      </c>
      <c r="K102" s="4" t="s">
        <v>43</v>
      </c>
      <c r="L102" s="6" t="s">
        <v>26</v>
      </c>
      <c r="M102" s="6" t="s">
        <v>121</v>
      </c>
      <c r="N102" s="7" t="s">
        <v>730</v>
      </c>
      <c r="O102" s="7" t="s">
        <v>270</v>
      </c>
    </row>
    <row r="103" customFormat="false" ht="23.25" hidden="false" customHeight="true" outlineLevel="0" collapsed="false">
      <c r="A103" s="3" t="s">
        <v>627</v>
      </c>
      <c r="B103" s="6" t="s">
        <v>731</v>
      </c>
      <c r="C103" s="6" t="s">
        <v>629</v>
      </c>
      <c r="D103" s="6" t="s">
        <v>18</v>
      </c>
      <c r="E103" s="5" t="s">
        <v>19</v>
      </c>
      <c r="F103" s="6" t="s">
        <v>732</v>
      </c>
      <c r="G103" s="6" t="s">
        <v>733</v>
      </c>
      <c r="H103" s="6" t="s">
        <v>734</v>
      </c>
      <c r="I103" s="6" t="s">
        <v>735</v>
      </c>
      <c r="J103" s="6" t="s">
        <v>736</v>
      </c>
      <c r="K103" s="6" t="s">
        <v>43</v>
      </c>
      <c r="L103" s="6" t="s">
        <v>430</v>
      </c>
      <c r="M103" s="6" t="s">
        <v>121</v>
      </c>
      <c r="N103" s="6" t="s">
        <v>97</v>
      </c>
      <c r="O103" s="6" t="s">
        <v>29</v>
      </c>
    </row>
    <row r="104" customFormat="false" ht="15" hidden="false" customHeight="true" outlineLevel="0" collapsed="false">
      <c r="A104" s="3" t="s">
        <v>627</v>
      </c>
      <c r="B104" s="4" t="s">
        <v>737</v>
      </c>
      <c r="C104" s="4" t="s">
        <v>105</v>
      </c>
      <c r="D104" s="4" t="s">
        <v>105</v>
      </c>
      <c r="E104" s="7" t="s">
        <v>31</v>
      </c>
      <c r="F104" s="6" t="s">
        <v>738</v>
      </c>
      <c r="G104" s="6" t="s">
        <v>739</v>
      </c>
      <c r="H104" s="6" t="s">
        <v>740</v>
      </c>
      <c r="I104" s="6" t="s">
        <v>292</v>
      </c>
      <c r="J104" s="6" t="s">
        <v>741</v>
      </c>
      <c r="K104" s="4" t="s">
        <v>25</v>
      </c>
      <c r="L104" s="6" t="s">
        <v>69</v>
      </c>
      <c r="M104" s="6" t="s">
        <v>538</v>
      </c>
      <c r="N104" s="7" t="s">
        <v>295</v>
      </c>
      <c r="O104" s="7" t="s">
        <v>742</v>
      </c>
    </row>
    <row r="105" customFormat="false" ht="23.25" hidden="false" customHeight="true" outlineLevel="0" collapsed="false">
      <c r="A105" s="3" t="s">
        <v>627</v>
      </c>
      <c r="B105" s="6" t="s">
        <v>743</v>
      </c>
      <c r="C105" s="6" t="s">
        <v>212</v>
      </c>
      <c r="D105" s="6" t="s">
        <v>18</v>
      </c>
      <c r="E105" s="5" t="s">
        <v>19</v>
      </c>
      <c r="F105" s="6" t="s">
        <v>744</v>
      </c>
      <c r="G105" s="6" t="s">
        <v>745</v>
      </c>
      <c r="H105" s="6" t="s">
        <v>746</v>
      </c>
      <c r="I105" s="6" t="s">
        <v>747</v>
      </c>
      <c r="J105" s="6" t="s">
        <v>748</v>
      </c>
      <c r="K105" s="6" t="s">
        <v>43</v>
      </c>
      <c r="L105" s="6" t="s">
        <v>26</v>
      </c>
      <c r="M105" s="6" t="s">
        <v>749</v>
      </c>
      <c r="N105" s="10" t="s">
        <v>750</v>
      </c>
      <c r="O105" s="8" t="s">
        <v>459</v>
      </c>
    </row>
    <row r="106" customFormat="false" ht="45.75" hidden="false" customHeight="true" outlineLevel="0" collapsed="false">
      <c r="A106" s="3" t="s">
        <v>751</v>
      </c>
      <c r="B106" s="4" t="s">
        <v>752</v>
      </c>
      <c r="C106" s="4" t="s">
        <v>753</v>
      </c>
      <c r="D106" s="4" t="s">
        <v>18</v>
      </c>
      <c r="E106" s="5" t="s">
        <v>19</v>
      </c>
      <c r="F106" s="6" t="s">
        <v>754</v>
      </c>
      <c r="G106" s="6" t="s">
        <v>755</v>
      </c>
      <c r="H106" s="6" t="s">
        <v>756</v>
      </c>
      <c r="I106" s="6" t="s">
        <v>757</v>
      </c>
      <c r="J106" s="6" t="s">
        <v>758</v>
      </c>
      <c r="K106" s="4" t="s">
        <v>25</v>
      </c>
      <c r="L106" s="6" t="s">
        <v>26</v>
      </c>
      <c r="M106" s="6" t="s">
        <v>27</v>
      </c>
      <c r="N106" s="6" t="s">
        <v>28</v>
      </c>
      <c r="O106" s="8" t="s">
        <v>759</v>
      </c>
    </row>
    <row r="107" customFormat="false" ht="34.5" hidden="false" customHeight="true" outlineLevel="0" collapsed="false">
      <c r="A107" s="3" t="s">
        <v>751</v>
      </c>
      <c r="B107" s="6" t="s">
        <v>760</v>
      </c>
      <c r="C107" s="6" t="s">
        <v>753</v>
      </c>
      <c r="D107" s="6" t="s">
        <v>18</v>
      </c>
      <c r="E107" s="7" t="s">
        <v>31</v>
      </c>
      <c r="F107" s="6" t="s">
        <v>761</v>
      </c>
      <c r="G107" s="6" t="s">
        <v>39</v>
      </c>
      <c r="H107" s="6" t="s">
        <v>762</v>
      </c>
      <c r="I107" s="6" t="s">
        <v>763</v>
      </c>
      <c r="J107" s="6" t="s">
        <v>764</v>
      </c>
      <c r="K107" s="6" t="s">
        <v>43</v>
      </c>
      <c r="L107" s="6" t="s">
        <v>26</v>
      </c>
      <c r="M107" s="6" t="s">
        <v>27</v>
      </c>
      <c r="N107" s="6" t="s">
        <v>28</v>
      </c>
      <c r="O107" s="6" t="s">
        <v>29</v>
      </c>
    </row>
    <row r="108" customFormat="false" ht="34.5" hidden="false" customHeight="true" outlineLevel="0" collapsed="false">
      <c r="A108" s="3" t="s">
        <v>751</v>
      </c>
      <c r="B108" s="4" t="s">
        <v>765</v>
      </c>
      <c r="C108" s="4" t="s">
        <v>753</v>
      </c>
      <c r="D108" s="4" t="s">
        <v>18</v>
      </c>
      <c r="E108" s="7" t="s">
        <v>31</v>
      </c>
      <c r="F108" s="6" t="s">
        <v>766</v>
      </c>
      <c r="G108" s="6" t="s">
        <v>39</v>
      </c>
      <c r="H108" s="6" t="s">
        <v>767</v>
      </c>
      <c r="I108" s="6" t="s">
        <v>768</v>
      </c>
      <c r="J108" s="6" t="s">
        <v>42</v>
      </c>
      <c r="K108" s="4" t="s">
        <v>210</v>
      </c>
      <c r="L108" s="6" t="s">
        <v>26</v>
      </c>
      <c r="M108" s="6" t="s">
        <v>27</v>
      </c>
      <c r="N108" s="6" t="s">
        <v>28</v>
      </c>
      <c r="O108" s="6" t="s">
        <v>29</v>
      </c>
    </row>
    <row r="109" customFormat="false" ht="34.5" hidden="false" customHeight="true" outlineLevel="0" collapsed="false">
      <c r="A109" s="3" t="s">
        <v>751</v>
      </c>
      <c r="B109" s="6" t="s">
        <v>769</v>
      </c>
      <c r="C109" s="6" t="s">
        <v>753</v>
      </c>
      <c r="D109" s="6" t="s">
        <v>90</v>
      </c>
      <c r="E109" s="7" t="s">
        <v>31</v>
      </c>
      <c r="F109" s="6" t="s">
        <v>770</v>
      </c>
      <c r="G109" s="6" t="s">
        <v>771</v>
      </c>
      <c r="H109" s="6" t="s">
        <v>772</v>
      </c>
      <c r="I109" s="6" t="s">
        <v>773</v>
      </c>
      <c r="J109" s="6" t="s">
        <v>193</v>
      </c>
      <c r="K109" s="6" t="s">
        <v>210</v>
      </c>
      <c r="L109" s="6" t="s">
        <v>69</v>
      </c>
      <c r="M109" s="6" t="s">
        <v>27</v>
      </c>
      <c r="N109" s="6" t="s">
        <v>28</v>
      </c>
      <c r="O109" s="6" t="s">
        <v>29</v>
      </c>
    </row>
    <row r="110" customFormat="false" ht="34.5" hidden="false" customHeight="true" outlineLevel="0" collapsed="false">
      <c r="A110" s="3" t="s">
        <v>751</v>
      </c>
      <c r="B110" s="4" t="s">
        <v>774</v>
      </c>
      <c r="C110" s="4" t="s">
        <v>753</v>
      </c>
      <c r="D110" s="4" t="s">
        <v>18</v>
      </c>
      <c r="E110" s="5" t="s">
        <v>19</v>
      </c>
      <c r="F110" s="6" t="s">
        <v>775</v>
      </c>
      <c r="G110" s="6" t="s">
        <v>776</v>
      </c>
      <c r="H110" s="6" t="s">
        <v>777</v>
      </c>
      <c r="I110" s="6" t="s">
        <v>778</v>
      </c>
      <c r="J110" s="6" t="s">
        <v>779</v>
      </c>
      <c r="K110" s="4" t="s">
        <v>25</v>
      </c>
      <c r="L110" s="6" t="s">
        <v>26</v>
      </c>
      <c r="M110" s="6" t="s">
        <v>780</v>
      </c>
      <c r="N110" s="6" t="s">
        <v>97</v>
      </c>
      <c r="O110" s="6" t="s">
        <v>29</v>
      </c>
    </row>
    <row r="111" customFormat="false" ht="45.75" hidden="false" customHeight="true" outlineLevel="0" collapsed="false">
      <c r="A111" s="3" t="s">
        <v>751</v>
      </c>
      <c r="B111" s="6" t="s">
        <v>781</v>
      </c>
      <c r="C111" s="6" t="s">
        <v>753</v>
      </c>
      <c r="D111" s="6" t="s">
        <v>18</v>
      </c>
      <c r="E111" s="5" t="s">
        <v>19</v>
      </c>
      <c r="F111" s="6" t="s">
        <v>782</v>
      </c>
      <c r="G111" s="6" t="s">
        <v>783</v>
      </c>
      <c r="H111" s="6" t="s">
        <v>784</v>
      </c>
      <c r="I111" s="6" t="s">
        <v>785</v>
      </c>
      <c r="J111" s="6" t="s">
        <v>786</v>
      </c>
      <c r="K111" s="6" t="s">
        <v>25</v>
      </c>
      <c r="L111" s="6" t="s">
        <v>120</v>
      </c>
      <c r="M111" s="6" t="s">
        <v>121</v>
      </c>
      <c r="N111" s="6" t="s">
        <v>97</v>
      </c>
      <c r="O111" s="8" t="s">
        <v>787</v>
      </c>
    </row>
    <row r="112" customFormat="false" ht="23.25" hidden="false" customHeight="true" outlineLevel="0" collapsed="false">
      <c r="A112" s="3" t="s">
        <v>751</v>
      </c>
      <c r="B112" s="4" t="s">
        <v>788</v>
      </c>
      <c r="C112" s="4" t="s">
        <v>753</v>
      </c>
      <c r="D112" s="4" t="s">
        <v>105</v>
      </c>
      <c r="E112" s="7" t="s">
        <v>31</v>
      </c>
      <c r="F112" s="6" t="s">
        <v>789</v>
      </c>
      <c r="G112" s="6" t="s">
        <v>39</v>
      </c>
      <c r="H112" s="6" t="s">
        <v>790</v>
      </c>
      <c r="I112" s="6" t="s">
        <v>791</v>
      </c>
      <c r="J112" s="6" t="s">
        <v>792</v>
      </c>
      <c r="K112" s="4" t="s">
        <v>25</v>
      </c>
      <c r="L112" s="6" t="s">
        <v>120</v>
      </c>
      <c r="M112" s="6" t="s">
        <v>538</v>
      </c>
      <c r="N112" s="7" t="s">
        <v>793</v>
      </c>
      <c r="O112" s="7" t="s">
        <v>669</v>
      </c>
    </row>
    <row r="113" customFormat="false" ht="23.25" hidden="false" customHeight="true" outlineLevel="0" collapsed="false">
      <c r="A113" s="3" t="s">
        <v>751</v>
      </c>
      <c r="B113" s="6" t="s">
        <v>794</v>
      </c>
      <c r="C113" s="6" t="s">
        <v>753</v>
      </c>
      <c r="D113" s="6" t="s">
        <v>18</v>
      </c>
      <c r="E113" s="5" t="s">
        <v>19</v>
      </c>
      <c r="F113" s="6" t="s">
        <v>795</v>
      </c>
      <c r="G113" s="6" t="s">
        <v>776</v>
      </c>
      <c r="H113" s="6" t="s">
        <v>777</v>
      </c>
      <c r="I113" s="6" t="s">
        <v>796</v>
      </c>
      <c r="J113" s="6" t="s">
        <v>797</v>
      </c>
      <c r="K113" s="6" t="s">
        <v>43</v>
      </c>
      <c r="L113" s="6" t="s">
        <v>26</v>
      </c>
      <c r="M113" s="6" t="s">
        <v>121</v>
      </c>
      <c r="N113" s="6" t="s">
        <v>97</v>
      </c>
      <c r="O113" s="6" t="s">
        <v>29</v>
      </c>
    </row>
    <row r="114" customFormat="false" ht="23.25" hidden="false" customHeight="true" outlineLevel="0" collapsed="false">
      <c r="A114" s="3" t="s">
        <v>751</v>
      </c>
      <c r="B114" s="4" t="s">
        <v>798</v>
      </c>
      <c r="C114" s="4" t="s">
        <v>753</v>
      </c>
      <c r="D114" s="4" t="s">
        <v>18</v>
      </c>
      <c r="E114" s="5" t="s">
        <v>19</v>
      </c>
      <c r="F114" s="6" t="s">
        <v>799</v>
      </c>
      <c r="G114" s="6" t="s">
        <v>776</v>
      </c>
      <c r="H114" s="6" t="s">
        <v>777</v>
      </c>
      <c r="I114" s="6" t="s">
        <v>800</v>
      </c>
      <c r="J114" s="6" t="s">
        <v>801</v>
      </c>
      <c r="K114" s="4" t="s">
        <v>43</v>
      </c>
      <c r="L114" s="6" t="s">
        <v>26</v>
      </c>
      <c r="M114" s="6" t="s">
        <v>121</v>
      </c>
      <c r="N114" s="6" t="s">
        <v>97</v>
      </c>
      <c r="O114" s="6" t="s">
        <v>29</v>
      </c>
    </row>
    <row r="115" customFormat="false" ht="45.75" hidden="false" customHeight="true" outlineLevel="0" collapsed="false">
      <c r="A115" s="3" t="s">
        <v>751</v>
      </c>
      <c r="B115" s="6" t="s">
        <v>802</v>
      </c>
      <c r="C115" s="6" t="s">
        <v>753</v>
      </c>
      <c r="D115" s="6" t="s">
        <v>18</v>
      </c>
      <c r="E115" s="5" t="s">
        <v>19</v>
      </c>
      <c r="F115" s="6" t="s">
        <v>803</v>
      </c>
      <c r="G115" s="6" t="s">
        <v>776</v>
      </c>
      <c r="H115" s="6" t="s">
        <v>777</v>
      </c>
      <c r="I115" s="6" t="s">
        <v>804</v>
      </c>
      <c r="J115" s="6" t="s">
        <v>805</v>
      </c>
      <c r="K115" s="6" t="s">
        <v>43</v>
      </c>
      <c r="L115" s="6" t="s">
        <v>120</v>
      </c>
      <c r="M115" s="6" t="s">
        <v>121</v>
      </c>
      <c r="N115" s="6" t="s">
        <v>97</v>
      </c>
      <c r="O115" s="8" t="s">
        <v>806</v>
      </c>
    </row>
    <row r="116" customFormat="false" ht="34.5" hidden="false" customHeight="true" outlineLevel="0" collapsed="false">
      <c r="A116" s="3" t="s">
        <v>751</v>
      </c>
      <c r="B116" s="4" t="s">
        <v>807</v>
      </c>
      <c r="C116" s="4" t="s">
        <v>753</v>
      </c>
      <c r="D116" s="4" t="s">
        <v>18</v>
      </c>
      <c r="E116" s="5" t="s">
        <v>19</v>
      </c>
      <c r="F116" s="6" t="s">
        <v>808</v>
      </c>
      <c r="G116" s="6" t="s">
        <v>776</v>
      </c>
      <c r="H116" s="6" t="s">
        <v>809</v>
      </c>
      <c r="I116" s="6" t="s">
        <v>810</v>
      </c>
      <c r="J116" s="6" t="s">
        <v>811</v>
      </c>
      <c r="K116" s="4" t="s">
        <v>43</v>
      </c>
      <c r="L116" s="6" t="s">
        <v>120</v>
      </c>
      <c r="M116" s="6" t="s">
        <v>121</v>
      </c>
      <c r="N116" s="6" t="s">
        <v>97</v>
      </c>
      <c r="O116" s="6" t="s">
        <v>29</v>
      </c>
    </row>
    <row r="117" customFormat="false" ht="34.5" hidden="false" customHeight="true" outlineLevel="0" collapsed="false">
      <c r="A117" s="3" t="s">
        <v>751</v>
      </c>
      <c r="B117" s="6" t="s">
        <v>812</v>
      </c>
      <c r="C117" s="6" t="s">
        <v>753</v>
      </c>
      <c r="D117" s="6" t="s">
        <v>18</v>
      </c>
      <c r="E117" s="7" t="s">
        <v>31</v>
      </c>
      <c r="F117" s="6" t="s">
        <v>813</v>
      </c>
      <c r="G117" s="6" t="s">
        <v>39</v>
      </c>
      <c r="H117" s="6" t="s">
        <v>814</v>
      </c>
      <c r="I117" s="6" t="s">
        <v>815</v>
      </c>
      <c r="J117" s="6" t="s">
        <v>764</v>
      </c>
      <c r="K117" s="6" t="s">
        <v>43</v>
      </c>
      <c r="L117" s="6" t="s">
        <v>26</v>
      </c>
      <c r="M117" s="6" t="s">
        <v>121</v>
      </c>
      <c r="N117" s="6" t="s">
        <v>97</v>
      </c>
      <c r="O117" s="6" t="s">
        <v>29</v>
      </c>
    </row>
    <row r="118" customFormat="false" ht="34.5" hidden="false" customHeight="true" outlineLevel="0" collapsed="false">
      <c r="A118" s="3" t="s">
        <v>751</v>
      </c>
      <c r="B118" s="4" t="s">
        <v>816</v>
      </c>
      <c r="C118" s="4" t="s">
        <v>753</v>
      </c>
      <c r="D118" s="4" t="s">
        <v>18</v>
      </c>
      <c r="E118" s="7" t="s">
        <v>31</v>
      </c>
      <c r="F118" s="6" t="s">
        <v>817</v>
      </c>
      <c r="G118" s="6" t="s">
        <v>39</v>
      </c>
      <c r="H118" s="6" t="s">
        <v>818</v>
      </c>
      <c r="I118" s="6" t="s">
        <v>819</v>
      </c>
      <c r="J118" s="6" t="s">
        <v>764</v>
      </c>
      <c r="K118" s="4" t="s">
        <v>210</v>
      </c>
      <c r="L118" s="6" t="s">
        <v>120</v>
      </c>
      <c r="M118" s="6" t="s">
        <v>121</v>
      </c>
      <c r="N118" s="6" t="s">
        <v>97</v>
      </c>
      <c r="O118" s="6" t="s">
        <v>29</v>
      </c>
    </row>
    <row r="119" customFormat="false" ht="23.25" hidden="false" customHeight="true" outlineLevel="0" collapsed="false">
      <c r="A119" s="3" t="s">
        <v>751</v>
      </c>
      <c r="B119" s="6" t="s">
        <v>820</v>
      </c>
      <c r="C119" s="6" t="s">
        <v>753</v>
      </c>
      <c r="D119" s="6" t="s">
        <v>18</v>
      </c>
      <c r="E119" s="7" t="s">
        <v>31</v>
      </c>
      <c r="F119" s="6" t="s">
        <v>821</v>
      </c>
      <c r="G119" s="6" t="s">
        <v>39</v>
      </c>
      <c r="H119" s="6" t="s">
        <v>822</v>
      </c>
      <c r="I119" s="6" t="s">
        <v>823</v>
      </c>
      <c r="J119" s="6" t="s">
        <v>661</v>
      </c>
      <c r="K119" s="6" t="s">
        <v>43</v>
      </c>
      <c r="L119" s="6" t="s">
        <v>26</v>
      </c>
      <c r="M119" s="6" t="s">
        <v>121</v>
      </c>
      <c r="N119" s="6" t="s">
        <v>97</v>
      </c>
      <c r="O119" s="6" t="s">
        <v>29</v>
      </c>
    </row>
    <row r="120" customFormat="false" ht="15" hidden="false" customHeight="true" outlineLevel="0" collapsed="false">
      <c r="A120" s="3" t="s">
        <v>751</v>
      </c>
      <c r="B120" s="4" t="s">
        <v>824</v>
      </c>
      <c r="C120" s="4" t="s">
        <v>753</v>
      </c>
      <c r="D120" s="4" t="s">
        <v>18</v>
      </c>
      <c r="E120" s="5" t="s">
        <v>19</v>
      </c>
      <c r="F120" s="6" t="s">
        <v>825</v>
      </c>
      <c r="G120" s="6" t="s">
        <v>39</v>
      </c>
      <c r="H120" s="6" t="s">
        <v>826</v>
      </c>
      <c r="I120" s="6" t="s">
        <v>827</v>
      </c>
      <c r="J120" s="6" t="s">
        <v>828</v>
      </c>
      <c r="K120" s="4" t="s">
        <v>43</v>
      </c>
      <c r="L120" s="6" t="s">
        <v>69</v>
      </c>
      <c r="M120" s="6" t="s">
        <v>121</v>
      </c>
      <c r="N120" s="6" t="s">
        <v>97</v>
      </c>
      <c r="O120" s="6" t="s">
        <v>29</v>
      </c>
    </row>
    <row r="121" customFormat="false" ht="23.25" hidden="false" customHeight="true" outlineLevel="0" collapsed="false">
      <c r="A121" s="3" t="s">
        <v>751</v>
      </c>
      <c r="B121" s="6" t="s">
        <v>829</v>
      </c>
      <c r="C121" s="6" t="s">
        <v>753</v>
      </c>
      <c r="D121" s="6" t="s">
        <v>105</v>
      </c>
      <c r="E121" s="7" t="s">
        <v>31</v>
      </c>
      <c r="F121" s="6" t="s">
        <v>830</v>
      </c>
      <c r="G121" s="6" t="s">
        <v>776</v>
      </c>
      <c r="H121" s="6" t="s">
        <v>831</v>
      </c>
      <c r="I121" s="6" t="s">
        <v>832</v>
      </c>
      <c r="J121" s="6" t="s">
        <v>833</v>
      </c>
      <c r="K121" s="6" t="s">
        <v>43</v>
      </c>
      <c r="L121" s="6" t="s">
        <v>120</v>
      </c>
      <c r="M121" s="6" t="s">
        <v>538</v>
      </c>
      <c r="N121" s="7" t="s">
        <v>834</v>
      </c>
      <c r="O121" s="8" t="s">
        <v>835</v>
      </c>
    </row>
    <row r="122" customFormat="false" ht="23.25" hidden="false" customHeight="true" outlineLevel="0" collapsed="false">
      <c r="A122" s="3" t="s">
        <v>751</v>
      </c>
      <c r="B122" s="4" t="s">
        <v>836</v>
      </c>
      <c r="C122" s="4" t="s">
        <v>753</v>
      </c>
      <c r="D122" s="4" t="s">
        <v>18</v>
      </c>
      <c r="E122" s="5" t="s">
        <v>19</v>
      </c>
      <c r="F122" s="6" t="s">
        <v>837</v>
      </c>
      <c r="G122" s="6" t="s">
        <v>838</v>
      </c>
      <c r="H122" s="6" t="s">
        <v>839</v>
      </c>
      <c r="I122" s="6" t="s">
        <v>840</v>
      </c>
      <c r="J122" s="6" t="s">
        <v>841</v>
      </c>
      <c r="K122" s="4" t="s">
        <v>43</v>
      </c>
      <c r="L122" s="6" t="s">
        <v>26</v>
      </c>
      <c r="M122" s="6" t="s">
        <v>121</v>
      </c>
      <c r="N122" s="6" t="s">
        <v>97</v>
      </c>
      <c r="O122" s="6" t="s">
        <v>29</v>
      </c>
    </row>
    <row r="123" customFormat="false" ht="23.25" hidden="false" customHeight="true" outlineLevel="0" collapsed="false">
      <c r="A123" s="3" t="s">
        <v>751</v>
      </c>
      <c r="B123" s="6" t="s">
        <v>842</v>
      </c>
      <c r="C123" s="6" t="s">
        <v>753</v>
      </c>
      <c r="D123" s="6" t="s">
        <v>18</v>
      </c>
      <c r="E123" s="5" t="s">
        <v>19</v>
      </c>
      <c r="F123" s="6" t="s">
        <v>843</v>
      </c>
      <c r="G123" s="6" t="s">
        <v>838</v>
      </c>
      <c r="H123" s="6" t="s">
        <v>772</v>
      </c>
      <c r="I123" s="6" t="s">
        <v>224</v>
      </c>
      <c r="J123" s="6" t="s">
        <v>844</v>
      </c>
      <c r="K123" s="6" t="s">
        <v>43</v>
      </c>
      <c r="L123" s="6" t="s">
        <v>26</v>
      </c>
      <c r="M123" s="6" t="s">
        <v>121</v>
      </c>
      <c r="N123" s="6" t="s">
        <v>97</v>
      </c>
      <c r="O123" s="6" t="s">
        <v>29</v>
      </c>
    </row>
    <row r="124" customFormat="false" ht="23.25" hidden="false" customHeight="true" outlineLevel="0" collapsed="false">
      <c r="A124" s="3" t="s">
        <v>751</v>
      </c>
      <c r="B124" s="4" t="s">
        <v>845</v>
      </c>
      <c r="C124" s="4" t="s">
        <v>753</v>
      </c>
      <c r="D124" s="4" t="s">
        <v>51</v>
      </c>
      <c r="E124" s="7" t="s">
        <v>31</v>
      </c>
      <c r="F124" s="6" t="s">
        <v>846</v>
      </c>
      <c r="G124" s="6" t="s">
        <v>39</v>
      </c>
      <c r="H124" s="6" t="s">
        <v>847</v>
      </c>
      <c r="I124" s="6" t="s">
        <v>848</v>
      </c>
      <c r="J124" s="6" t="s">
        <v>68</v>
      </c>
      <c r="K124" s="4" t="s">
        <v>43</v>
      </c>
      <c r="L124" s="6" t="s">
        <v>69</v>
      </c>
      <c r="M124" s="6" t="s">
        <v>849</v>
      </c>
      <c r="N124" s="6" t="s">
        <v>97</v>
      </c>
      <c r="O124" s="6" t="s">
        <v>29</v>
      </c>
    </row>
    <row r="125" customFormat="false" ht="23.25" hidden="false" customHeight="true" outlineLevel="0" collapsed="false">
      <c r="A125" s="3" t="s">
        <v>751</v>
      </c>
      <c r="B125" s="6" t="s">
        <v>850</v>
      </c>
      <c r="C125" s="6" t="s">
        <v>753</v>
      </c>
      <c r="D125" s="6" t="s">
        <v>18</v>
      </c>
      <c r="E125" s="7" t="s">
        <v>31</v>
      </c>
      <c r="F125" s="6" t="s">
        <v>851</v>
      </c>
      <c r="G125" s="6" t="s">
        <v>39</v>
      </c>
      <c r="H125" s="6" t="s">
        <v>852</v>
      </c>
      <c r="I125" s="6" t="s">
        <v>853</v>
      </c>
      <c r="J125" s="6" t="s">
        <v>42</v>
      </c>
      <c r="K125" s="6" t="s">
        <v>210</v>
      </c>
      <c r="L125" s="6" t="s">
        <v>26</v>
      </c>
      <c r="M125" s="6" t="s">
        <v>854</v>
      </c>
      <c r="N125" s="6" t="s">
        <v>97</v>
      </c>
      <c r="O125" s="6" t="s">
        <v>29</v>
      </c>
    </row>
    <row r="126" customFormat="false" ht="23.25" hidden="false" customHeight="true" outlineLevel="0" collapsed="false">
      <c r="A126" s="3" t="s">
        <v>855</v>
      </c>
      <c r="B126" s="4" t="s">
        <v>856</v>
      </c>
      <c r="C126" s="4" t="s">
        <v>857</v>
      </c>
      <c r="D126" s="4" t="s">
        <v>18</v>
      </c>
      <c r="E126" s="5" t="s">
        <v>19</v>
      </c>
      <c r="F126" s="6" t="s">
        <v>858</v>
      </c>
      <c r="G126" s="6" t="s">
        <v>859</v>
      </c>
      <c r="H126" s="6" t="s">
        <v>860</v>
      </c>
      <c r="I126" s="6" t="s">
        <v>861</v>
      </c>
      <c r="J126" s="6" t="s">
        <v>862</v>
      </c>
      <c r="K126" s="4" t="s">
        <v>25</v>
      </c>
      <c r="L126" s="6" t="s">
        <v>26</v>
      </c>
      <c r="M126" s="6" t="s">
        <v>27</v>
      </c>
      <c r="N126" s="6" t="s">
        <v>28</v>
      </c>
      <c r="O126" s="8" t="s">
        <v>863</v>
      </c>
    </row>
    <row r="127" customFormat="false" ht="23.25" hidden="false" customHeight="true" outlineLevel="0" collapsed="false">
      <c r="A127" s="3" t="s">
        <v>855</v>
      </c>
      <c r="B127" s="6" t="s">
        <v>864</v>
      </c>
      <c r="C127" s="6" t="s">
        <v>857</v>
      </c>
      <c r="D127" s="6" t="s">
        <v>18</v>
      </c>
      <c r="E127" s="5" t="s">
        <v>19</v>
      </c>
      <c r="F127" s="6" t="s">
        <v>865</v>
      </c>
      <c r="G127" s="6" t="s">
        <v>866</v>
      </c>
      <c r="H127" s="6" t="s">
        <v>867</v>
      </c>
      <c r="I127" s="6" t="s">
        <v>868</v>
      </c>
      <c r="J127" s="6" t="s">
        <v>869</v>
      </c>
      <c r="K127" s="6" t="s">
        <v>25</v>
      </c>
      <c r="L127" s="6" t="s">
        <v>26</v>
      </c>
      <c r="M127" s="6" t="s">
        <v>27</v>
      </c>
      <c r="N127" s="6" t="s">
        <v>28</v>
      </c>
      <c r="O127" s="6" t="s">
        <v>29</v>
      </c>
    </row>
    <row r="128" customFormat="false" ht="34.5" hidden="false" customHeight="true" outlineLevel="0" collapsed="false">
      <c r="A128" s="3" t="s">
        <v>855</v>
      </c>
      <c r="B128" s="4" t="s">
        <v>870</v>
      </c>
      <c r="C128" s="4" t="s">
        <v>871</v>
      </c>
      <c r="D128" s="4" t="s">
        <v>18</v>
      </c>
      <c r="E128" s="7" t="s">
        <v>31</v>
      </c>
      <c r="F128" s="6" t="s">
        <v>872</v>
      </c>
      <c r="G128" s="6" t="s">
        <v>873</v>
      </c>
      <c r="H128" s="6" t="s">
        <v>874</v>
      </c>
      <c r="I128" s="6" t="s">
        <v>868</v>
      </c>
      <c r="J128" s="6" t="s">
        <v>875</v>
      </c>
      <c r="K128" s="4" t="s">
        <v>43</v>
      </c>
      <c r="L128" s="6" t="s">
        <v>26</v>
      </c>
      <c r="M128" s="6" t="s">
        <v>27</v>
      </c>
      <c r="N128" s="6" t="s">
        <v>28</v>
      </c>
      <c r="O128" s="6" t="s">
        <v>29</v>
      </c>
    </row>
    <row r="129" customFormat="false" ht="23.25" hidden="false" customHeight="true" outlineLevel="0" collapsed="false">
      <c r="A129" s="3" t="s">
        <v>855</v>
      </c>
      <c r="B129" s="6" t="s">
        <v>876</v>
      </c>
      <c r="C129" s="6" t="s">
        <v>857</v>
      </c>
      <c r="D129" s="6" t="s">
        <v>18</v>
      </c>
      <c r="E129" s="7" t="s">
        <v>31</v>
      </c>
      <c r="F129" s="6" t="s">
        <v>877</v>
      </c>
      <c r="G129" s="6" t="s">
        <v>878</v>
      </c>
      <c r="H129" s="6" t="s">
        <v>879</v>
      </c>
      <c r="I129" s="6" t="s">
        <v>880</v>
      </c>
      <c r="J129" s="6" t="s">
        <v>881</v>
      </c>
      <c r="K129" s="6" t="s">
        <v>43</v>
      </c>
      <c r="L129" s="6" t="s">
        <v>26</v>
      </c>
      <c r="M129" s="6" t="s">
        <v>27</v>
      </c>
      <c r="N129" s="6" t="s">
        <v>28</v>
      </c>
      <c r="O129" s="6" t="s">
        <v>29</v>
      </c>
    </row>
    <row r="130" customFormat="false" ht="57" hidden="false" customHeight="true" outlineLevel="0" collapsed="false">
      <c r="A130" s="3" t="s">
        <v>855</v>
      </c>
      <c r="B130" s="4" t="s">
        <v>882</v>
      </c>
      <c r="C130" s="4" t="s">
        <v>871</v>
      </c>
      <c r="D130" s="4" t="s">
        <v>18</v>
      </c>
      <c r="E130" s="7" t="s">
        <v>31</v>
      </c>
      <c r="F130" s="6" t="s">
        <v>883</v>
      </c>
      <c r="G130" s="6" t="s">
        <v>884</v>
      </c>
      <c r="H130" s="6" t="s">
        <v>885</v>
      </c>
      <c r="I130" s="6" t="s">
        <v>886</v>
      </c>
      <c r="J130" s="6" t="s">
        <v>887</v>
      </c>
      <c r="K130" s="4" t="s">
        <v>210</v>
      </c>
      <c r="L130" s="6" t="s">
        <v>26</v>
      </c>
      <c r="M130" s="6" t="s">
        <v>27</v>
      </c>
      <c r="N130" s="6" t="s">
        <v>28</v>
      </c>
      <c r="O130" s="6" t="s">
        <v>29</v>
      </c>
    </row>
    <row r="131" customFormat="false" ht="15" hidden="false" customHeight="true" outlineLevel="0" collapsed="false">
      <c r="A131" s="3" t="s">
        <v>855</v>
      </c>
      <c r="B131" s="6" t="s">
        <v>888</v>
      </c>
      <c r="C131" s="6" t="s">
        <v>871</v>
      </c>
      <c r="D131" s="6" t="s">
        <v>18</v>
      </c>
      <c r="E131" s="5" t="s">
        <v>19</v>
      </c>
      <c r="F131" s="6" t="s">
        <v>889</v>
      </c>
      <c r="G131" s="6" t="s">
        <v>890</v>
      </c>
      <c r="H131" s="6" t="s">
        <v>885</v>
      </c>
      <c r="I131" s="6" t="s">
        <v>891</v>
      </c>
      <c r="J131" s="6" t="s">
        <v>892</v>
      </c>
      <c r="K131" s="6" t="s">
        <v>43</v>
      </c>
      <c r="L131" s="6" t="s">
        <v>26</v>
      </c>
      <c r="M131" s="6" t="s">
        <v>27</v>
      </c>
      <c r="N131" s="6" t="s">
        <v>28</v>
      </c>
      <c r="O131" s="6" t="s">
        <v>29</v>
      </c>
    </row>
    <row r="132" customFormat="false" ht="45.75" hidden="false" customHeight="true" outlineLevel="0" collapsed="false">
      <c r="A132" s="3" t="s">
        <v>855</v>
      </c>
      <c r="B132" s="4" t="s">
        <v>893</v>
      </c>
      <c r="C132" s="4" t="s">
        <v>857</v>
      </c>
      <c r="D132" s="4" t="s">
        <v>345</v>
      </c>
      <c r="E132" s="7" t="s">
        <v>31</v>
      </c>
      <c r="F132" s="6" t="s">
        <v>894</v>
      </c>
      <c r="G132" s="6" t="s">
        <v>895</v>
      </c>
      <c r="H132" s="6" t="s">
        <v>860</v>
      </c>
      <c r="I132" s="6" t="s">
        <v>896</v>
      </c>
      <c r="J132" s="6" t="s">
        <v>897</v>
      </c>
      <c r="K132" s="4" t="s">
        <v>43</v>
      </c>
      <c r="L132" s="6" t="s">
        <v>245</v>
      </c>
      <c r="M132" s="6" t="s">
        <v>27</v>
      </c>
      <c r="N132" s="6" t="s">
        <v>28</v>
      </c>
      <c r="O132" s="6" t="s">
        <v>29</v>
      </c>
    </row>
    <row r="133" customFormat="false" ht="45.75" hidden="false" customHeight="true" outlineLevel="0" collapsed="false">
      <c r="A133" s="3" t="s">
        <v>855</v>
      </c>
      <c r="B133" s="6" t="s">
        <v>898</v>
      </c>
      <c r="C133" s="6" t="s">
        <v>360</v>
      </c>
      <c r="D133" s="6" t="s">
        <v>18</v>
      </c>
      <c r="E133" s="5" t="s">
        <v>19</v>
      </c>
      <c r="F133" s="6" t="s">
        <v>899</v>
      </c>
      <c r="G133" s="6" t="s">
        <v>900</v>
      </c>
      <c r="H133" s="6" t="s">
        <v>901</v>
      </c>
      <c r="I133" s="6" t="s">
        <v>902</v>
      </c>
      <c r="J133" s="6" t="s">
        <v>903</v>
      </c>
      <c r="K133" s="6" t="s">
        <v>43</v>
      </c>
      <c r="L133" s="6" t="s">
        <v>69</v>
      </c>
      <c r="M133" s="6" t="s">
        <v>27</v>
      </c>
      <c r="N133" s="6" t="s">
        <v>28</v>
      </c>
      <c r="O133" s="6" t="s">
        <v>29</v>
      </c>
    </row>
    <row r="134" customFormat="false" ht="68.25" hidden="false" customHeight="true" outlineLevel="0" collapsed="false">
      <c r="A134" s="3" t="s">
        <v>855</v>
      </c>
      <c r="B134" s="4" t="s">
        <v>904</v>
      </c>
      <c r="C134" s="4" t="s">
        <v>857</v>
      </c>
      <c r="D134" s="4" t="s">
        <v>905</v>
      </c>
      <c r="E134" s="7" t="s">
        <v>31</v>
      </c>
      <c r="F134" s="6" t="s">
        <v>906</v>
      </c>
      <c r="G134" s="6" t="s">
        <v>907</v>
      </c>
      <c r="H134" s="6" t="s">
        <v>908</v>
      </c>
      <c r="I134" s="6" t="s">
        <v>909</v>
      </c>
      <c r="J134" s="6" t="s">
        <v>910</v>
      </c>
      <c r="K134" s="4" t="s">
        <v>25</v>
      </c>
      <c r="L134" s="6" t="s">
        <v>430</v>
      </c>
      <c r="M134" s="6" t="s">
        <v>911</v>
      </c>
      <c r="N134" s="7" t="s">
        <v>912</v>
      </c>
      <c r="O134" s="8" t="s">
        <v>913</v>
      </c>
    </row>
    <row r="135" customFormat="false" ht="34.5" hidden="false" customHeight="true" outlineLevel="0" collapsed="false">
      <c r="A135" s="3" t="s">
        <v>855</v>
      </c>
      <c r="B135" s="6" t="s">
        <v>914</v>
      </c>
      <c r="C135" s="6" t="s">
        <v>857</v>
      </c>
      <c r="D135" s="6" t="s">
        <v>18</v>
      </c>
      <c r="E135" s="7" t="s">
        <v>31</v>
      </c>
      <c r="F135" s="6" t="s">
        <v>915</v>
      </c>
      <c r="G135" s="6" t="s">
        <v>916</v>
      </c>
      <c r="H135" s="6" t="s">
        <v>917</v>
      </c>
      <c r="I135" s="6" t="s">
        <v>918</v>
      </c>
      <c r="J135" s="6" t="s">
        <v>42</v>
      </c>
      <c r="K135" s="6" t="s">
        <v>43</v>
      </c>
      <c r="L135" s="6" t="s">
        <v>26</v>
      </c>
      <c r="M135" s="6" t="s">
        <v>121</v>
      </c>
      <c r="N135" s="6" t="s">
        <v>97</v>
      </c>
      <c r="O135" s="6" t="s">
        <v>29</v>
      </c>
    </row>
    <row r="136" customFormat="false" ht="68.25" hidden="false" customHeight="true" outlineLevel="0" collapsed="false">
      <c r="A136" s="3" t="s">
        <v>855</v>
      </c>
      <c r="B136" s="4" t="s">
        <v>919</v>
      </c>
      <c r="C136" s="4" t="s">
        <v>857</v>
      </c>
      <c r="D136" s="4" t="s">
        <v>105</v>
      </c>
      <c r="E136" s="7" t="s">
        <v>31</v>
      </c>
      <c r="F136" s="6" t="s">
        <v>920</v>
      </c>
      <c r="G136" s="6" t="s">
        <v>921</v>
      </c>
      <c r="H136" s="6" t="s">
        <v>922</v>
      </c>
      <c r="I136" s="6" t="s">
        <v>923</v>
      </c>
      <c r="J136" s="6" t="s">
        <v>924</v>
      </c>
      <c r="K136" s="4" t="s">
        <v>25</v>
      </c>
      <c r="L136" s="6" t="s">
        <v>69</v>
      </c>
      <c r="M136" s="6" t="s">
        <v>538</v>
      </c>
      <c r="N136" s="7" t="s">
        <v>925</v>
      </c>
      <c r="O136" s="7" t="s">
        <v>926</v>
      </c>
    </row>
    <row r="137" customFormat="false" ht="34.5" hidden="false" customHeight="true" outlineLevel="0" collapsed="false">
      <c r="A137" s="3" t="s">
        <v>855</v>
      </c>
      <c r="B137" s="6" t="s">
        <v>927</v>
      </c>
      <c r="C137" s="6" t="s">
        <v>857</v>
      </c>
      <c r="D137" s="6" t="s">
        <v>928</v>
      </c>
      <c r="E137" s="7" t="s">
        <v>31</v>
      </c>
      <c r="F137" s="6" t="s">
        <v>929</v>
      </c>
      <c r="G137" s="6" t="s">
        <v>930</v>
      </c>
      <c r="H137" s="6" t="s">
        <v>931</v>
      </c>
      <c r="I137" s="6" t="s">
        <v>932</v>
      </c>
      <c r="J137" s="6" t="s">
        <v>933</v>
      </c>
      <c r="K137" s="6" t="s">
        <v>25</v>
      </c>
      <c r="L137" s="6" t="s">
        <v>69</v>
      </c>
      <c r="M137" s="6" t="s">
        <v>934</v>
      </c>
      <c r="N137" s="8" t="s">
        <v>935</v>
      </c>
      <c r="O137" s="9" t="s">
        <v>170</v>
      </c>
    </row>
    <row r="138" customFormat="false" ht="23.25" hidden="false" customHeight="true" outlineLevel="0" collapsed="false">
      <c r="A138" s="3" t="s">
        <v>855</v>
      </c>
      <c r="B138" s="4" t="s">
        <v>936</v>
      </c>
      <c r="C138" s="4" t="s">
        <v>857</v>
      </c>
      <c r="D138" s="4" t="s">
        <v>105</v>
      </c>
      <c r="E138" s="7" t="s">
        <v>31</v>
      </c>
      <c r="F138" s="6" t="s">
        <v>937</v>
      </c>
      <c r="G138" s="6" t="s">
        <v>938</v>
      </c>
      <c r="H138" s="6" t="s">
        <v>939</v>
      </c>
      <c r="I138" s="6" t="s">
        <v>940</v>
      </c>
      <c r="J138" s="6" t="s">
        <v>941</v>
      </c>
      <c r="K138" s="4" t="s">
        <v>25</v>
      </c>
      <c r="L138" s="6" t="s">
        <v>69</v>
      </c>
      <c r="M138" s="6" t="s">
        <v>942</v>
      </c>
      <c r="N138" s="7" t="s">
        <v>943</v>
      </c>
      <c r="O138" s="7" t="s">
        <v>944</v>
      </c>
    </row>
    <row r="139" customFormat="false" ht="34.5" hidden="false" customHeight="true" outlineLevel="0" collapsed="false">
      <c r="A139" s="3" t="s">
        <v>855</v>
      </c>
      <c r="B139" s="6" t="s">
        <v>945</v>
      </c>
      <c r="C139" s="6" t="s">
        <v>857</v>
      </c>
      <c r="D139" s="6" t="s">
        <v>51</v>
      </c>
      <c r="E139" s="7" t="s">
        <v>31</v>
      </c>
      <c r="F139" s="6" t="s">
        <v>946</v>
      </c>
      <c r="G139" s="6" t="s">
        <v>947</v>
      </c>
      <c r="H139" s="6" t="s">
        <v>948</v>
      </c>
      <c r="I139" s="6" t="s">
        <v>949</v>
      </c>
      <c r="J139" s="6" t="s">
        <v>950</v>
      </c>
      <c r="K139" s="6" t="s">
        <v>25</v>
      </c>
      <c r="L139" s="6" t="s">
        <v>69</v>
      </c>
      <c r="M139" s="6" t="s">
        <v>538</v>
      </c>
      <c r="N139" s="7" t="s">
        <v>951</v>
      </c>
      <c r="O139" s="7" t="s">
        <v>952</v>
      </c>
    </row>
    <row r="140" customFormat="false" ht="23.25" hidden="false" customHeight="true" outlineLevel="0" collapsed="false">
      <c r="A140" s="3" t="s">
        <v>855</v>
      </c>
      <c r="B140" s="4" t="s">
        <v>953</v>
      </c>
      <c r="C140" s="4" t="s">
        <v>753</v>
      </c>
      <c r="D140" s="4" t="s">
        <v>18</v>
      </c>
      <c r="E140" s="5" t="s">
        <v>19</v>
      </c>
      <c r="F140" s="6" t="s">
        <v>954</v>
      </c>
      <c r="G140" s="6" t="s">
        <v>955</v>
      </c>
      <c r="H140" s="6" t="s">
        <v>956</v>
      </c>
      <c r="I140" s="6" t="s">
        <v>404</v>
      </c>
      <c r="J140" s="6" t="s">
        <v>957</v>
      </c>
      <c r="K140" s="4" t="s">
        <v>25</v>
      </c>
      <c r="L140" s="6" t="s">
        <v>245</v>
      </c>
      <c r="M140" s="6" t="s">
        <v>121</v>
      </c>
      <c r="N140" s="6" t="s">
        <v>97</v>
      </c>
      <c r="O140" s="6" t="s">
        <v>407</v>
      </c>
    </row>
    <row r="141" customFormat="false" ht="23.25" hidden="false" customHeight="true" outlineLevel="0" collapsed="false">
      <c r="A141" s="3" t="s">
        <v>855</v>
      </c>
      <c r="B141" s="6" t="s">
        <v>958</v>
      </c>
      <c r="C141" s="6" t="s">
        <v>959</v>
      </c>
      <c r="D141" s="6" t="s">
        <v>18</v>
      </c>
      <c r="E141" s="5" t="s">
        <v>19</v>
      </c>
      <c r="F141" s="6" t="s">
        <v>960</v>
      </c>
      <c r="G141" s="6" t="s">
        <v>961</v>
      </c>
      <c r="H141" s="6" t="s">
        <v>962</v>
      </c>
      <c r="I141" s="6" t="s">
        <v>963</v>
      </c>
      <c r="J141" s="6" t="s">
        <v>964</v>
      </c>
      <c r="K141" s="6" t="s">
        <v>25</v>
      </c>
      <c r="L141" s="6" t="s">
        <v>245</v>
      </c>
      <c r="M141" s="6" t="s">
        <v>965</v>
      </c>
      <c r="N141" s="6" t="s">
        <v>966</v>
      </c>
      <c r="O141" s="6" t="s">
        <v>29</v>
      </c>
    </row>
    <row r="142" customFormat="false" ht="34.5" hidden="false" customHeight="true" outlineLevel="0" collapsed="false">
      <c r="A142" s="3" t="s">
        <v>855</v>
      </c>
      <c r="B142" s="4" t="s">
        <v>967</v>
      </c>
      <c r="C142" s="4" t="s">
        <v>857</v>
      </c>
      <c r="D142" s="4" t="s">
        <v>18</v>
      </c>
      <c r="E142" s="5" t="s">
        <v>19</v>
      </c>
      <c r="F142" s="6" t="s">
        <v>968</v>
      </c>
      <c r="G142" s="6" t="s">
        <v>969</v>
      </c>
      <c r="H142" s="6" t="s">
        <v>970</v>
      </c>
      <c r="I142" s="6" t="s">
        <v>971</v>
      </c>
      <c r="J142" s="6" t="s">
        <v>972</v>
      </c>
      <c r="K142" s="4" t="s">
        <v>43</v>
      </c>
      <c r="L142" s="6" t="s">
        <v>26</v>
      </c>
      <c r="M142" s="6" t="s">
        <v>973</v>
      </c>
      <c r="N142" s="6" t="s">
        <v>974</v>
      </c>
      <c r="O142" s="6" t="s">
        <v>29</v>
      </c>
    </row>
    <row r="143" customFormat="false" ht="34.5" hidden="false" customHeight="true" outlineLevel="0" collapsed="false">
      <c r="A143" s="3" t="s">
        <v>855</v>
      </c>
      <c r="B143" s="6" t="s">
        <v>975</v>
      </c>
      <c r="C143" s="6" t="s">
        <v>360</v>
      </c>
      <c r="D143" s="6" t="s">
        <v>51</v>
      </c>
      <c r="E143" s="5" t="s">
        <v>19</v>
      </c>
      <c r="F143" s="6" t="s">
        <v>976</v>
      </c>
      <c r="G143" s="6" t="s">
        <v>977</v>
      </c>
      <c r="H143" s="6" t="s">
        <v>978</v>
      </c>
      <c r="I143" s="6" t="s">
        <v>979</v>
      </c>
      <c r="J143" s="6" t="s">
        <v>980</v>
      </c>
      <c r="K143" s="6" t="s">
        <v>43</v>
      </c>
      <c r="L143" s="6" t="s">
        <v>69</v>
      </c>
      <c r="M143" s="6" t="s">
        <v>121</v>
      </c>
      <c r="N143" s="8" t="s">
        <v>981</v>
      </c>
      <c r="O143" s="9" t="s">
        <v>170</v>
      </c>
    </row>
    <row r="144" customFormat="false" ht="23.25" hidden="false" customHeight="true" outlineLevel="0" collapsed="false">
      <c r="A144" s="3" t="s">
        <v>855</v>
      </c>
      <c r="B144" s="4" t="s">
        <v>982</v>
      </c>
      <c r="C144" s="4" t="s">
        <v>857</v>
      </c>
      <c r="D144" s="4" t="s">
        <v>18</v>
      </c>
      <c r="E144" s="5" t="s">
        <v>19</v>
      </c>
      <c r="F144" s="6" t="s">
        <v>983</v>
      </c>
      <c r="G144" s="6" t="s">
        <v>984</v>
      </c>
      <c r="H144" s="6" t="s">
        <v>985</v>
      </c>
      <c r="I144" s="6" t="s">
        <v>87</v>
      </c>
      <c r="J144" s="6" t="s">
        <v>986</v>
      </c>
      <c r="K144" s="4" t="s">
        <v>43</v>
      </c>
      <c r="L144" s="6" t="s">
        <v>26</v>
      </c>
      <c r="M144" s="6" t="s">
        <v>121</v>
      </c>
      <c r="N144" s="8" t="s">
        <v>987</v>
      </c>
      <c r="O144" s="9" t="s">
        <v>170</v>
      </c>
    </row>
    <row r="145" customFormat="false" ht="23.25" hidden="false" customHeight="true" outlineLevel="0" collapsed="false">
      <c r="A145" s="3" t="s">
        <v>855</v>
      </c>
      <c r="B145" s="6" t="s">
        <v>988</v>
      </c>
      <c r="C145" s="6" t="s">
        <v>857</v>
      </c>
      <c r="D145" s="6" t="s">
        <v>51</v>
      </c>
      <c r="E145" s="7" t="s">
        <v>31</v>
      </c>
      <c r="F145" s="6" t="s">
        <v>989</v>
      </c>
      <c r="G145" s="6" t="s">
        <v>191</v>
      </c>
      <c r="H145" s="6" t="s">
        <v>990</v>
      </c>
      <c r="I145" s="6" t="s">
        <v>128</v>
      </c>
      <c r="J145" s="6" t="s">
        <v>193</v>
      </c>
      <c r="K145" s="6" t="s">
        <v>43</v>
      </c>
      <c r="L145" s="6" t="s">
        <v>69</v>
      </c>
      <c r="M145" s="6" t="s">
        <v>121</v>
      </c>
      <c r="N145" s="8" t="s">
        <v>987</v>
      </c>
      <c r="O145" s="9" t="s">
        <v>170</v>
      </c>
    </row>
    <row r="146" customFormat="false" ht="23.25" hidden="false" customHeight="true" outlineLevel="0" collapsed="false">
      <c r="A146" s="3" t="s">
        <v>991</v>
      </c>
      <c r="B146" s="4" t="s">
        <v>992</v>
      </c>
      <c r="C146" s="4" t="s">
        <v>993</v>
      </c>
      <c r="D146" s="4" t="s">
        <v>18</v>
      </c>
      <c r="E146" s="5" t="s">
        <v>19</v>
      </c>
      <c r="F146" s="6" t="s">
        <v>994</v>
      </c>
      <c r="G146" s="6" t="s">
        <v>995</v>
      </c>
      <c r="H146" s="6" t="s">
        <v>996</v>
      </c>
      <c r="I146" s="6" t="s">
        <v>997</v>
      </c>
      <c r="J146" s="6" t="s">
        <v>998</v>
      </c>
      <c r="K146" s="4" t="s">
        <v>25</v>
      </c>
      <c r="L146" s="6" t="s">
        <v>245</v>
      </c>
      <c r="M146" s="6" t="s">
        <v>27</v>
      </c>
      <c r="N146" s="6" t="s">
        <v>28</v>
      </c>
      <c r="O146" s="6" t="s">
        <v>29</v>
      </c>
    </row>
    <row r="147" customFormat="false" ht="57" hidden="false" customHeight="true" outlineLevel="0" collapsed="false">
      <c r="A147" s="3" t="s">
        <v>991</v>
      </c>
      <c r="B147" s="6" t="s">
        <v>999</v>
      </c>
      <c r="C147" s="6" t="s">
        <v>1000</v>
      </c>
      <c r="D147" s="6" t="s">
        <v>18</v>
      </c>
      <c r="E147" s="5" t="s">
        <v>19</v>
      </c>
      <c r="F147" s="6" t="s">
        <v>1001</v>
      </c>
      <c r="G147" s="6" t="s">
        <v>1002</v>
      </c>
      <c r="H147" s="6" t="s">
        <v>1003</v>
      </c>
      <c r="I147" s="6" t="s">
        <v>1004</v>
      </c>
      <c r="J147" s="6" t="s">
        <v>1005</v>
      </c>
      <c r="K147" s="6" t="s">
        <v>43</v>
      </c>
      <c r="L147" s="6" t="s">
        <v>245</v>
      </c>
      <c r="M147" s="6" t="s">
        <v>27</v>
      </c>
      <c r="N147" s="6" t="s">
        <v>28</v>
      </c>
      <c r="O147" s="6" t="s">
        <v>29</v>
      </c>
    </row>
    <row r="148" customFormat="false" ht="23.25" hidden="false" customHeight="true" outlineLevel="0" collapsed="false">
      <c r="A148" s="3" t="s">
        <v>991</v>
      </c>
      <c r="B148" s="4" t="s">
        <v>1006</v>
      </c>
      <c r="C148" s="4" t="s">
        <v>993</v>
      </c>
      <c r="D148" s="4" t="s">
        <v>18</v>
      </c>
      <c r="E148" s="5" t="s">
        <v>19</v>
      </c>
      <c r="F148" s="6" t="s">
        <v>1007</v>
      </c>
      <c r="G148" s="6" t="s">
        <v>1008</v>
      </c>
      <c r="H148" s="6" t="s">
        <v>1009</v>
      </c>
      <c r="I148" s="6" t="s">
        <v>1010</v>
      </c>
      <c r="J148" s="6" t="s">
        <v>1011</v>
      </c>
      <c r="K148" s="4" t="s">
        <v>43</v>
      </c>
      <c r="L148" s="6" t="s">
        <v>245</v>
      </c>
      <c r="M148" s="6" t="s">
        <v>27</v>
      </c>
      <c r="N148" s="6" t="s">
        <v>28</v>
      </c>
      <c r="O148" s="6" t="s">
        <v>29</v>
      </c>
    </row>
    <row r="149" customFormat="false" ht="23.25" hidden="false" customHeight="true" outlineLevel="0" collapsed="false">
      <c r="A149" s="3" t="s">
        <v>991</v>
      </c>
      <c r="B149" s="6" t="s">
        <v>1012</v>
      </c>
      <c r="C149" s="6" t="s">
        <v>1013</v>
      </c>
      <c r="D149" s="6" t="s">
        <v>1014</v>
      </c>
      <c r="E149" s="5" t="s">
        <v>19</v>
      </c>
      <c r="F149" s="6" t="s">
        <v>1015</v>
      </c>
      <c r="G149" s="6" t="s">
        <v>222</v>
      </c>
      <c r="H149" s="6" t="s">
        <v>1016</v>
      </c>
      <c r="I149" s="6" t="s">
        <v>1017</v>
      </c>
      <c r="J149" s="6" t="s">
        <v>1018</v>
      </c>
      <c r="K149" s="6" t="s">
        <v>210</v>
      </c>
      <c r="L149" s="6" t="s">
        <v>26</v>
      </c>
      <c r="M149" s="6" t="s">
        <v>27</v>
      </c>
      <c r="N149" s="6" t="s">
        <v>28</v>
      </c>
      <c r="O149" s="6" t="s">
        <v>29</v>
      </c>
    </row>
    <row r="150" customFormat="false" ht="23.25" hidden="false" customHeight="true" outlineLevel="0" collapsed="false">
      <c r="A150" s="3" t="s">
        <v>991</v>
      </c>
      <c r="B150" s="4" t="s">
        <v>1019</v>
      </c>
      <c r="C150" s="4" t="s">
        <v>1013</v>
      </c>
      <c r="D150" s="4" t="s">
        <v>90</v>
      </c>
      <c r="E150" s="7" t="s">
        <v>31</v>
      </c>
      <c r="F150" s="6" t="s">
        <v>1020</v>
      </c>
      <c r="G150" s="6" t="s">
        <v>1021</v>
      </c>
      <c r="H150" s="6" t="s">
        <v>1022</v>
      </c>
      <c r="I150" s="6" t="s">
        <v>87</v>
      </c>
      <c r="J150" s="6" t="s">
        <v>1023</v>
      </c>
      <c r="K150" s="4" t="s">
        <v>210</v>
      </c>
      <c r="L150" s="6" t="s">
        <v>69</v>
      </c>
      <c r="M150" s="6" t="s">
        <v>27</v>
      </c>
      <c r="N150" s="6" t="s">
        <v>28</v>
      </c>
      <c r="O150" s="6" t="s">
        <v>29</v>
      </c>
    </row>
    <row r="151" customFormat="false" ht="23.25" hidden="false" customHeight="true" outlineLevel="0" collapsed="false">
      <c r="A151" s="3" t="s">
        <v>991</v>
      </c>
      <c r="B151" s="6" t="s">
        <v>1024</v>
      </c>
      <c r="C151" s="6" t="s">
        <v>993</v>
      </c>
      <c r="D151" s="6" t="s">
        <v>18</v>
      </c>
      <c r="E151" s="5" t="s">
        <v>19</v>
      </c>
      <c r="F151" s="6" t="s">
        <v>1025</v>
      </c>
      <c r="G151" s="6" t="s">
        <v>1026</v>
      </c>
      <c r="H151" s="6" t="s">
        <v>1027</v>
      </c>
      <c r="I151" s="6" t="s">
        <v>1028</v>
      </c>
      <c r="J151" s="6" t="s">
        <v>1029</v>
      </c>
      <c r="K151" s="6" t="s">
        <v>25</v>
      </c>
      <c r="L151" s="6" t="s">
        <v>245</v>
      </c>
      <c r="M151" s="6" t="s">
        <v>1030</v>
      </c>
      <c r="N151" s="6" t="s">
        <v>97</v>
      </c>
      <c r="O151" s="6" t="s">
        <v>407</v>
      </c>
    </row>
    <row r="152" customFormat="false" ht="34.5" hidden="false" customHeight="true" outlineLevel="0" collapsed="false">
      <c r="A152" s="3" t="s">
        <v>991</v>
      </c>
      <c r="B152" s="4" t="s">
        <v>1031</v>
      </c>
      <c r="C152" s="4" t="s">
        <v>993</v>
      </c>
      <c r="D152" s="4" t="s">
        <v>18</v>
      </c>
      <c r="E152" s="5" t="s">
        <v>19</v>
      </c>
      <c r="F152" s="6" t="s">
        <v>1032</v>
      </c>
      <c r="G152" s="6" t="s">
        <v>1033</v>
      </c>
      <c r="H152" s="6" t="s">
        <v>1034</v>
      </c>
      <c r="I152" s="6" t="s">
        <v>1035</v>
      </c>
      <c r="J152" s="6" t="s">
        <v>1036</v>
      </c>
      <c r="K152" s="4" t="s">
        <v>43</v>
      </c>
      <c r="L152" s="6" t="s">
        <v>26</v>
      </c>
      <c r="M152" s="6" t="s">
        <v>1037</v>
      </c>
      <c r="N152" s="7" t="s">
        <v>1038</v>
      </c>
      <c r="O152" s="8" t="s">
        <v>1039</v>
      </c>
    </row>
    <row r="153" customFormat="false" ht="34.5" hidden="false" customHeight="true" outlineLevel="0" collapsed="false">
      <c r="A153" s="3" t="s">
        <v>991</v>
      </c>
      <c r="B153" s="6" t="s">
        <v>1040</v>
      </c>
      <c r="C153" s="6" t="s">
        <v>993</v>
      </c>
      <c r="D153" s="6" t="s">
        <v>18</v>
      </c>
      <c r="E153" s="5" t="s">
        <v>19</v>
      </c>
      <c r="F153" s="6" t="s">
        <v>1041</v>
      </c>
      <c r="G153" s="6" t="s">
        <v>1042</v>
      </c>
      <c r="H153" s="6" t="s">
        <v>1043</v>
      </c>
      <c r="I153" s="6" t="s">
        <v>1044</v>
      </c>
      <c r="J153" s="6" t="s">
        <v>1045</v>
      </c>
      <c r="K153" s="6" t="s">
        <v>25</v>
      </c>
      <c r="L153" s="6" t="s">
        <v>26</v>
      </c>
      <c r="M153" s="6" t="s">
        <v>1037</v>
      </c>
      <c r="N153" s="6" t="s">
        <v>97</v>
      </c>
      <c r="O153" s="6" t="s">
        <v>29</v>
      </c>
    </row>
    <row r="154" customFormat="false" ht="34.5" hidden="false" customHeight="true" outlineLevel="0" collapsed="false">
      <c r="A154" s="3" t="s">
        <v>991</v>
      </c>
      <c r="B154" s="4" t="s">
        <v>1046</v>
      </c>
      <c r="C154" s="4" t="s">
        <v>993</v>
      </c>
      <c r="D154" s="4" t="s">
        <v>51</v>
      </c>
      <c r="E154" s="7" t="s">
        <v>31</v>
      </c>
      <c r="F154" s="6" t="s">
        <v>1047</v>
      </c>
      <c r="G154" s="6" t="s">
        <v>39</v>
      </c>
      <c r="H154" s="6" t="s">
        <v>1048</v>
      </c>
      <c r="I154" s="6" t="s">
        <v>267</v>
      </c>
      <c r="J154" s="6" t="s">
        <v>1049</v>
      </c>
      <c r="K154" s="4" t="s">
        <v>25</v>
      </c>
      <c r="L154" s="6" t="s">
        <v>69</v>
      </c>
      <c r="M154" s="6" t="s">
        <v>689</v>
      </c>
      <c r="N154" s="6" t="s">
        <v>97</v>
      </c>
      <c r="O154" s="6" t="s">
        <v>29</v>
      </c>
    </row>
    <row r="155" customFormat="false" ht="23.25" hidden="false" customHeight="true" outlineLevel="0" collapsed="false">
      <c r="A155" s="3" t="s">
        <v>991</v>
      </c>
      <c r="B155" s="6" t="s">
        <v>1050</v>
      </c>
      <c r="C155" s="6" t="s">
        <v>993</v>
      </c>
      <c r="D155" s="6" t="s">
        <v>18</v>
      </c>
      <c r="E155" s="5" t="s">
        <v>19</v>
      </c>
      <c r="F155" s="6" t="s">
        <v>1051</v>
      </c>
      <c r="G155" s="6" t="s">
        <v>1052</v>
      </c>
      <c r="H155" s="6" t="s">
        <v>1053</v>
      </c>
      <c r="I155" s="6" t="s">
        <v>1054</v>
      </c>
      <c r="J155" s="6" t="s">
        <v>1055</v>
      </c>
      <c r="K155" s="6" t="s">
        <v>25</v>
      </c>
      <c r="L155" s="6" t="s">
        <v>69</v>
      </c>
      <c r="M155" s="6" t="s">
        <v>121</v>
      </c>
      <c r="N155" s="6" t="s">
        <v>97</v>
      </c>
      <c r="O155" s="6" t="s">
        <v>29</v>
      </c>
    </row>
    <row r="156" customFormat="false" ht="23.25" hidden="false" customHeight="true" outlineLevel="0" collapsed="false">
      <c r="A156" s="3" t="s">
        <v>991</v>
      </c>
      <c r="B156" s="4" t="s">
        <v>1056</v>
      </c>
      <c r="C156" s="4" t="s">
        <v>993</v>
      </c>
      <c r="D156" s="4" t="s">
        <v>18</v>
      </c>
      <c r="E156" s="5" t="s">
        <v>19</v>
      </c>
      <c r="F156" s="6" t="s">
        <v>1057</v>
      </c>
      <c r="G156" s="6" t="s">
        <v>1058</v>
      </c>
      <c r="H156" s="6" t="s">
        <v>1059</v>
      </c>
      <c r="I156" s="6" t="s">
        <v>1060</v>
      </c>
      <c r="J156" s="6" t="s">
        <v>1061</v>
      </c>
      <c r="K156" s="4" t="s">
        <v>25</v>
      </c>
      <c r="L156" s="6" t="s">
        <v>245</v>
      </c>
      <c r="M156" s="6" t="s">
        <v>1030</v>
      </c>
      <c r="N156" s="7" t="s">
        <v>1062</v>
      </c>
      <c r="O156" s="7" t="s">
        <v>1063</v>
      </c>
    </row>
    <row r="157" customFormat="false" ht="23.25" hidden="false" customHeight="true" outlineLevel="0" collapsed="false">
      <c r="A157" s="3" t="s">
        <v>991</v>
      </c>
      <c r="B157" s="6" t="s">
        <v>1064</v>
      </c>
      <c r="C157" s="6" t="s">
        <v>993</v>
      </c>
      <c r="D157" s="6" t="s">
        <v>18</v>
      </c>
      <c r="E157" s="5" t="s">
        <v>19</v>
      </c>
      <c r="F157" s="6" t="s">
        <v>1065</v>
      </c>
      <c r="G157" s="6" t="s">
        <v>1066</v>
      </c>
      <c r="H157" s="6" t="s">
        <v>1067</v>
      </c>
      <c r="I157" s="6" t="s">
        <v>1068</v>
      </c>
      <c r="J157" s="6" t="s">
        <v>1069</v>
      </c>
      <c r="K157" s="6" t="s">
        <v>43</v>
      </c>
      <c r="L157" s="6" t="s">
        <v>26</v>
      </c>
      <c r="M157" s="6" t="s">
        <v>121</v>
      </c>
      <c r="N157" s="6" t="s">
        <v>97</v>
      </c>
      <c r="O157" s="6" t="s">
        <v>29</v>
      </c>
    </row>
    <row r="158" customFormat="false" ht="23.25" hidden="false" customHeight="true" outlineLevel="0" collapsed="false">
      <c r="A158" s="3" t="s">
        <v>991</v>
      </c>
      <c r="B158" s="4" t="s">
        <v>1070</v>
      </c>
      <c r="C158" s="4" t="s">
        <v>105</v>
      </c>
      <c r="D158" s="4" t="s">
        <v>105</v>
      </c>
      <c r="E158" s="7" t="s">
        <v>31</v>
      </c>
      <c r="F158" s="6" t="s">
        <v>1071</v>
      </c>
      <c r="G158" s="6" t="s">
        <v>1072</v>
      </c>
      <c r="H158" s="6" t="s">
        <v>1073</v>
      </c>
      <c r="I158" s="6" t="s">
        <v>1074</v>
      </c>
      <c r="J158" s="6" t="s">
        <v>1075</v>
      </c>
      <c r="K158" s="4" t="s">
        <v>25</v>
      </c>
      <c r="L158" s="6" t="s">
        <v>69</v>
      </c>
      <c r="M158" s="6" t="s">
        <v>538</v>
      </c>
      <c r="N158" s="7" t="s">
        <v>1076</v>
      </c>
      <c r="O158" s="7" t="s">
        <v>270</v>
      </c>
    </row>
    <row r="159" customFormat="false" ht="23.25" hidden="false" customHeight="true" outlineLevel="0" collapsed="false">
      <c r="A159" s="3" t="s">
        <v>991</v>
      </c>
      <c r="B159" s="6" t="s">
        <v>1077</v>
      </c>
      <c r="C159" s="6" t="s">
        <v>993</v>
      </c>
      <c r="D159" s="6" t="s">
        <v>18</v>
      </c>
      <c r="E159" s="5" t="s">
        <v>19</v>
      </c>
      <c r="F159" s="6" t="s">
        <v>1078</v>
      </c>
      <c r="G159" s="6" t="s">
        <v>1079</v>
      </c>
      <c r="H159" s="6" t="s">
        <v>1080</v>
      </c>
      <c r="I159" s="6" t="s">
        <v>963</v>
      </c>
      <c r="J159" s="6" t="s">
        <v>1081</v>
      </c>
      <c r="K159" s="6" t="s">
        <v>43</v>
      </c>
      <c r="L159" s="6" t="s">
        <v>26</v>
      </c>
      <c r="M159" s="6" t="s">
        <v>121</v>
      </c>
      <c r="N159" s="6" t="s">
        <v>97</v>
      </c>
      <c r="O159" s="6" t="s">
        <v>29</v>
      </c>
    </row>
    <row r="160" customFormat="false" ht="34.5" hidden="false" customHeight="true" outlineLevel="0" collapsed="false">
      <c r="A160" s="3" t="s">
        <v>991</v>
      </c>
      <c r="B160" s="4" t="s">
        <v>1082</v>
      </c>
      <c r="C160" s="4" t="s">
        <v>993</v>
      </c>
      <c r="D160" s="4" t="s">
        <v>18</v>
      </c>
      <c r="E160" s="7" t="s">
        <v>31</v>
      </c>
      <c r="F160" s="6" t="s">
        <v>1083</v>
      </c>
      <c r="G160" s="6" t="s">
        <v>1084</v>
      </c>
      <c r="H160" s="6" t="s">
        <v>1085</v>
      </c>
      <c r="I160" s="6" t="s">
        <v>1086</v>
      </c>
      <c r="J160" s="6" t="s">
        <v>1087</v>
      </c>
      <c r="K160" s="4" t="s">
        <v>43</v>
      </c>
      <c r="L160" s="6" t="s">
        <v>26</v>
      </c>
      <c r="M160" s="6" t="s">
        <v>121</v>
      </c>
      <c r="N160" s="6" t="s">
        <v>97</v>
      </c>
      <c r="O160" s="6" t="s">
        <v>29</v>
      </c>
    </row>
    <row r="161" customFormat="false" ht="34.5" hidden="false" customHeight="true" outlineLevel="0" collapsed="false">
      <c r="A161" s="3" t="s">
        <v>991</v>
      </c>
      <c r="B161" s="6" t="s">
        <v>1088</v>
      </c>
      <c r="C161" s="6" t="s">
        <v>1013</v>
      </c>
      <c r="D161" s="6" t="s">
        <v>18</v>
      </c>
      <c r="E161" s="7" t="s">
        <v>31</v>
      </c>
      <c r="F161" s="6" t="s">
        <v>1089</v>
      </c>
      <c r="G161" s="6" t="s">
        <v>838</v>
      </c>
      <c r="H161" s="6" t="s">
        <v>1090</v>
      </c>
      <c r="I161" s="6" t="s">
        <v>1091</v>
      </c>
      <c r="J161" s="6" t="s">
        <v>661</v>
      </c>
      <c r="K161" s="6" t="s">
        <v>43</v>
      </c>
      <c r="L161" s="6" t="s">
        <v>26</v>
      </c>
      <c r="M161" s="6" t="s">
        <v>121</v>
      </c>
      <c r="N161" s="6" t="s">
        <v>97</v>
      </c>
      <c r="O161" s="6" t="s">
        <v>29</v>
      </c>
    </row>
    <row r="162" customFormat="false" ht="23.25" hidden="false" customHeight="true" outlineLevel="0" collapsed="false">
      <c r="A162" s="3" t="s">
        <v>991</v>
      </c>
      <c r="B162" s="4" t="s">
        <v>1092</v>
      </c>
      <c r="C162" s="4" t="s">
        <v>1013</v>
      </c>
      <c r="D162" s="4" t="s">
        <v>90</v>
      </c>
      <c r="E162" s="7" t="s">
        <v>31</v>
      </c>
      <c r="F162" s="6" t="s">
        <v>1093</v>
      </c>
      <c r="G162" s="6" t="s">
        <v>191</v>
      </c>
      <c r="H162" s="6" t="s">
        <v>1094</v>
      </c>
      <c r="I162" s="6" t="s">
        <v>1095</v>
      </c>
      <c r="J162" s="6" t="s">
        <v>193</v>
      </c>
      <c r="K162" s="4" t="s">
        <v>43</v>
      </c>
      <c r="L162" s="6" t="s">
        <v>69</v>
      </c>
      <c r="M162" s="6" t="s">
        <v>1096</v>
      </c>
      <c r="N162" s="6" t="s">
        <v>97</v>
      </c>
      <c r="O162" s="6" t="s">
        <v>29</v>
      </c>
    </row>
    <row r="163" customFormat="false" ht="23.25" hidden="false" customHeight="true" outlineLevel="0" collapsed="false">
      <c r="A163" s="3" t="s">
        <v>991</v>
      </c>
      <c r="B163" s="6" t="s">
        <v>1097</v>
      </c>
      <c r="C163" s="6" t="s">
        <v>1013</v>
      </c>
      <c r="D163" s="6" t="s">
        <v>18</v>
      </c>
      <c r="E163" s="7" t="s">
        <v>31</v>
      </c>
      <c r="F163" s="6" t="s">
        <v>1098</v>
      </c>
      <c r="G163" s="6" t="s">
        <v>838</v>
      </c>
      <c r="H163" s="6" t="s">
        <v>1099</v>
      </c>
      <c r="I163" s="6" t="s">
        <v>1100</v>
      </c>
      <c r="J163" s="6" t="s">
        <v>1101</v>
      </c>
      <c r="K163" s="6" t="s">
        <v>210</v>
      </c>
      <c r="L163" s="6" t="s">
        <v>26</v>
      </c>
      <c r="M163" s="6" t="s">
        <v>121</v>
      </c>
      <c r="N163" s="7" t="s">
        <v>1102</v>
      </c>
      <c r="O163" s="8" t="s">
        <v>1103</v>
      </c>
    </row>
    <row r="164" customFormat="false" ht="23.25" hidden="false" customHeight="true" outlineLevel="0" collapsed="false">
      <c r="A164" s="3" t="s">
        <v>991</v>
      </c>
      <c r="B164" s="4" t="s">
        <v>1104</v>
      </c>
      <c r="C164" s="4" t="s">
        <v>993</v>
      </c>
      <c r="D164" s="4" t="s">
        <v>18</v>
      </c>
      <c r="E164" s="7" t="s">
        <v>31</v>
      </c>
      <c r="F164" s="6" t="s">
        <v>1105</v>
      </c>
      <c r="G164" s="6" t="s">
        <v>1079</v>
      </c>
      <c r="H164" s="6" t="s">
        <v>1106</v>
      </c>
      <c r="I164" s="6" t="s">
        <v>1074</v>
      </c>
      <c r="J164" s="6" t="s">
        <v>1107</v>
      </c>
      <c r="K164" s="4" t="s">
        <v>43</v>
      </c>
      <c r="L164" s="6" t="s">
        <v>430</v>
      </c>
      <c r="M164" s="6" t="s">
        <v>450</v>
      </c>
      <c r="N164" s="7" t="s">
        <v>1108</v>
      </c>
      <c r="O164" s="8" t="s">
        <v>1109</v>
      </c>
    </row>
    <row r="165" customFormat="false" ht="34.5" hidden="false" customHeight="true" outlineLevel="0" collapsed="false">
      <c r="A165" s="3" t="s">
        <v>991</v>
      </c>
      <c r="B165" s="6" t="s">
        <v>1110</v>
      </c>
      <c r="C165" s="6" t="s">
        <v>1111</v>
      </c>
      <c r="D165" s="6" t="s">
        <v>18</v>
      </c>
      <c r="E165" s="5" t="s">
        <v>19</v>
      </c>
      <c r="F165" s="6" t="s">
        <v>1112</v>
      </c>
      <c r="G165" s="6" t="s">
        <v>1113</v>
      </c>
      <c r="H165" s="6" t="s">
        <v>1114</v>
      </c>
      <c r="I165" s="6" t="s">
        <v>1115</v>
      </c>
      <c r="J165" s="6" t="s">
        <v>1116</v>
      </c>
      <c r="K165" s="6" t="s">
        <v>43</v>
      </c>
      <c r="L165" s="6" t="s">
        <v>26</v>
      </c>
      <c r="M165" s="6" t="s">
        <v>121</v>
      </c>
      <c r="N165" s="7" t="s">
        <v>1117</v>
      </c>
      <c r="O165" s="7" t="s">
        <v>1118</v>
      </c>
    </row>
    <row r="166" customFormat="false" ht="34.5" hidden="false" customHeight="true" outlineLevel="0" collapsed="false">
      <c r="A166" s="3" t="s">
        <v>1119</v>
      </c>
      <c r="B166" s="4" t="s">
        <v>1120</v>
      </c>
      <c r="C166" s="4" t="s">
        <v>1121</v>
      </c>
      <c r="D166" s="4" t="s">
        <v>18</v>
      </c>
      <c r="E166" s="5" t="s">
        <v>19</v>
      </c>
      <c r="F166" s="6" t="s">
        <v>1122</v>
      </c>
      <c r="G166" s="6" t="s">
        <v>85</v>
      </c>
      <c r="H166" s="6" t="s">
        <v>1123</v>
      </c>
      <c r="I166" s="6" t="s">
        <v>87</v>
      </c>
      <c r="J166" s="6" t="s">
        <v>1124</v>
      </c>
      <c r="K166" s="4" t="s">
        <v>25</v>
      </c>
      <c r="L166" s="6" t="s">
        <v>245</v>
      </c>
      <c r="M166" s="6" t="s">
        <v>27</v>
      </c>
      <c r="N166" s="6" t="s">
        <v>28</v>
      </c>
      <c r="O166" s="6" t="s">
        <v>29</v>
      </c>
    </row>
    <row r="167" customFormat="false" ht="23.25" hidden="false" customHeight="true" outlineLevel="0" collapsed="false">
      <c r="A167" s="3" t="s">
        <v>1119</v>
      </c>
      <c r="B167" s="6" t="s">
        <v>1125</v>
      </c>
      <c r="C167" s="6" t="s">
        <v>1121</v>
      </c>
      <c r="D167" s="6" t="s">
        <v>90</v>
      </c>
      <c r="E167" s="7" t="s">
        <v>31</v>
      </c>
      <c r="F167" s="6" t="s">
        <v>1126</v>
      </c>
      <c r="G167" s="6" t="s">
        <v>1127</v>
      </c>
      <c r="H167" s="6" t="s">
        <v>1123</v>
      </c>
      <c r="I167" s="6" t="s">
        <v>1128</v>
      </c>
      <c r="J167" s="6" t="s">
        <v>193</v>
      </c>
      <c r="K167" s="6" t="s">
        <v>25</v>
      </c>
      <c r="L167" s="6" t="s">
        <v>69</v>
      </c>
      <c r="M167" s="6" t="s">
        <v>27</v>
      </c>
      <c r="N167" s="6" t="s">
        <v>28</v>
      </c>
      <c r="O167" s="6" t="s">
        <v>29</v>
      </c>
    </row>
    <row r="168" customFormat="false" ht="23.25" hidden="false" customHeight="true" outlineLevel="0" collapsed="false">
      <c r="A168" s="3" t="s">
        <v>1119</v>
      </c>
      <c r="B168" s="4" t="s">
        <v>1129</v>
      </c>
      <c r="C168" s="4" t="s">
        <v>58</v>
      </c>
      <c r="D168" s="4" t="s">
        <v>90</v>
      </c>
      <c r="E168" s="7" t="s">
        <v>31</v>
      </c>
      <c r="F168" s="6" t="s">
        <v>1130</v>
      </c>
      <c r="G168" s="6" t="s">
        <v>85</v>
      </c>
      <c r="H168" s="6" t="s">
        <v>1131</v>
      </c>
      <c r="I168" s="6" t="s">
        <v>87</v>
      </c>
      <c r="J168" s="6" t="s">
        <v>1132</v>
      </c>
      <c r="K168" s="4" t="s">
        <v>25</v>
      </c>
      <c r="L168" s="6" t="s">
        <v>69</v>
      </c>
      <c r="M168" s="6" t="s">
        <v>27</v>
      </c>
      <c r="N168" s="6" t="s">
        <v>28</v>
      </c>
      <c r="O168" s="6" t="s">
        <v>29</v>
      </c>
    </row>
    <row r="169" customFormat="false" ht="57" hidden="false" customHeight="true" outlineLevel="0" collapsed="false">
      <c r="A169" s="3" t="s">
        <v>1119</v>
      </c>
      <c r="B169" s="6" t="s">
        <v>1133</v>
      </c>
      <c r="C169" s="6" t="s">
        <v>58</v>
      </c>
      <c r="D169" s="6" t="s">
        <v>1134</v>
      </c>
      <c r="E169" s="5" t="s">
        <v>19</v>
      </c>
      <c r="F169" s="6" t="s">
        <v>1135</v>
      </c>
      <c r="G169" s="6" t="s">
        <v>222</v>
      </c>
      <c r="H169" s="6" t="s">
        <v>1131</v>
      </c>
      <c r="I169" s="6" t="s">
        <v>224</v>
      </c>
      <c r="J169" s="6" t="s">
        <v>1136</v>
      </c>
      <c r="K169" s="6" t="s">
        <v>25</v>
      </c>
      <c r="L169" s="6" t="s">
        <v>245</v>
      </c>
      <c r="M169" s="6" t="s">
        <v>27</v>
      </c>
      <c r="N169" s="6" t="s">
        <v>28</v>
      </c>
      <c r="O169" s="6" t="s">
        <v>29</v>
      </c>
    </row>
    <row r="170" customFormat="false" ht="23.25" hidden="false" customHeight="true" outlineLevel="0" collapsed="false">
      <c r="A170" s="3" t="s">
        <v>1119</v>
      </c>
      <c r="B170" s="4" t="s">
        <v>1137</v>
      </c>
      <c r="C170" s="4" t="s">
        <v>1138</v>
      </c>
      <c r="D170" s="4" t="s">
        <v>18</v>
      </c>
      <c r="E170" s="5" t="s">
        <v>19</v>
      </c>
      <c r="F170" s="6" t="s">
        <v>1139</v>
      </c>
      <c r="G170" s="6" t="s">
        <v>1140</v>
      </c>
      <c r="H170" s="6" t="s">
        <v>1141</v>
      </c>
      <c r="I170" s="6" t="s">
        <v>1142</v>
      </c>
      <c r="J170" s="6" t="s">
        <v>1143</v>
      </c>
      <c r="K170" s="4" t="s">
        <v>25</v>
      </c>
      <c r="L170" s="6" t="s">
        <v>245</v>
      </c>
      <c r="M170" s="6" t="s">
        <v>27</v>
      </c>
      <c r="N170" s="6" t="s">
        <v>28</v>
      </c>
      <c r="O170" s="8" t="s">
        <v>1144</v>
      </c>
    </row>
    <row r="171" customFormat="false" ht="34.5" hidden="false" customHeight="true" outlineLevel="0" collapsed="false">
      <c r="A171" s="3" t="s">
        <v>1119</v>
      </c>
      <c r="B171" s="6" t="s">
        <v>1145</v>
      </c>
      <c r="C171" s="6" t="s">
        <v>1138</v>
      </c>
      <c r="D171" s="6" t="s">
        <v>18</v>
      </c>
      <c r="E171" s="5" t="s">
        <v>19</v>
      </c>
      <c r="F171" s="6" t="s">
        <v>1146</v>
      </c>
      <c r="G171" s="6" t="s">
        <v>1147</v>
      </c>
      <c r="H171" s="6" t="s">
        <v>1148</v>
      </c>
      <c r="I171" s="6" t="s">
        <v>1149</v>
      </c>
      <c r="J171" s="6" t="s">
        <v>1150</v>
      </c>
      <c r="K171" s="6" t="s">
        <v>43</v>
      </c>
      <c r="L171" s="6" t="s">
        <v>245</v>
      </c>
      <c r="M171" s="6" t="s">
        <v>27</v>
      </c>
      <c r="N171" s="6" t="s">
        <v>28</v>
      </c>
      <c r="O171" s="6" t="s">
        <v>1151</v>
      </c>
    </row>
    <row r="172" customFormat="false" ht="34.5" hidden="false" customHeight="true" outlineLevel="0" collapsed="false">
      <c r="A172" s="3" t="s">
        <v>1119</v>
      </c>
      <c r="B172" s="4" t="s">
        <v>1152</v>
      </c>
      <c r="C172" s="4" t="s">
        <v>1121</v>
      </c>
      <c r="D172" s="4" t="s">
        <v>18</v>
      </c>
      <c r="E172" s="5" t="s">
        <v>19</v>
      </c>
      <c r="F172" s="6" t="s">
        <v>1153</v>
      </c>
      <c r="G172" s="6" t="s">
        <v>1154</v>
      </c>
      <c r="H172" s="6" t="s">
        <v>1155</v>
      </c>
      <c r="I172" s="6" t="s">
        <v>1156</v>
      </c>
      <c r="J172" s="6" t="s">
        <v>1157</v>
      </c>
      <c r="K172" s="4" t="s">
        <v>210</v>
      </c>
      <c r="L172" s="6" t="s">
        <v>245</v>
      </c>
      <c r="M172" s="6" t="s">
        <v>27</v>
      </c>
      <c r="N172" s="6" t="s">
        <v>28</v>
      </c>
      <c r="O172" s="8" t="s">
        <v>1158</v>
      </c>
    </row>
    <row r="173" customFormat="false" ht="23.25" hidden="false" customHeight="true" outlineLevel="0" collapsed="false">
      <c r="A173" s="3" t="s">
        <v>1119</v>
      </c>
      <c r="B173" s="6" t="s">
        <v>1159</v>
      </c>
      <c r="C173" s="6" t="s">
        <v>1138</v>
      </c>
      <c r="D173" s="6" t="s">
        <v>18</v>
      </c>
      <c r="E173" s="5" t="s">
        <v>19</v>
      </c>
      <c r="F173" s="6" t="s">
        <v>1160</v>
      </c>
      <c r="G173" s="6" t="s">
        <v>1161</v>
      </c>
      <c r="H173" s="6" t="s">
        <v>1141</v>
      </c>
      <c r="I173" s="6" t="s">
        <v>87</v>
      </c>
      <c r="J173" s="6" t="s">
        <v>1162</v>
      </c>
      <c r="K173" s="6" t="s">
        <v>25</v>
      </c>
      <c r="L173" s="6" t="s">
        <v>26</v>
      </c>
      <c r="M173" s="6" t="s">
        <v>1163</v>
      </c>
      <c r="N173" s="6" t="s">
        <v>97</v>
      </c>
      <c r="O173" s="8" t="s">
        <v>1164</v>
      </c>
    </row>
    <row r="174" customFormat="false" ht="23.25" hidden="false" customHeight="true" outlineLevel="0" collapsed="false">
      <c r="A174" s="3" t="s">
        <v>1119</v>
      </c>
      <c r="B174" s="4" t="s">
        <v>1165</v>
      </c>
      <c r="C174" s="4" t="s">
        <v>1138</v>
      </c>
      <c r="D174" s="4" t="s">
        <v>18</v>
      </c>
      <c r="E174" s="5" t="s">
        <v>19</v>
      </c>
      <c r="F174" s="6" t="s">
        <v>1166</v>
      </c>
      <c r="G174" s="6" t="s">
        <v>1167</v>
      </c>
      <c r="H174" s="6" t="s">
        <v>1168</v>
      </c>
      <c r="I174" s="6" t="s">
        <v>87</v>
      </c>
      <c r="J174" s="6" t="s">
        <v>1169</v>
      </c>
      <c r="K174" s="4" t="s">
        <v>43</v>
      </c>
      <c r="L174" s="6" t="s">
        <v>26</v>
      </c>
      <c r="M174" s="6" t="s">
        <v>121</v>
      </c>
      <c r="N174" s="6" t="s">
        <v>97</v>
      </c>
      <c r="O174" s="6" t="s">
        <v>29</v>
      </c>
    </row>
    <row r="175" customFormat="false" ht="23.25" hidden="false" customHeight="true" outlineLevel="0" collapsed="false">
      <c r="A175" s="3" t="s">
        <v>1119</v>
      </c>
      <c r="B175" s="6" t="s">
        <v>1170</v>
      </c>
      <c r="C175" s="6" t="s">
        <v>1138</v>
      </c>
      <c r="D175" s="6" t="s">
        <v>18</v>
      </c>
      <c r="E175" s="5" t="s">
        <v>19</v>
      </c>
      <c r="F175" s="6" t="s">
        <v>1171</v>
      </c>
      <c r="G175" s="6" t="s">
        <v>1172</v>
      </c>
      <c r="H175" s="6" t="s">
        <v>1173</v>
      </c>
      <c r="I175" s="6" t="s">
        <v>87</v>
      </c>
      <c r="J175" s="6" t="s">
        <v>1174</v>
      </c>
      <c r="K175" s="6" t="s">
        <v>43</v>
      </c>
      <c r="L175" s="6" t="s">
        <v>26</v>
      </c>
      <c r="M175" s="6" t="s">
        <v>121</v>
      </c>
      <c r="N175" s="6" t="s">
        <v>97</v>
      </c>
      <c r="O175" s="6" t="s">
        <v>29</v>
      </c>
    </row>
    <row r="176" customFormat="false" ht="34.5" hidden="false" customHeight="true" outlineLevel="0" collapsed="false">
      <c r="A176" s="3" t="s">
        <v>1119</v>
      </c>
      <c r="B176" s="4" t="s">
        <v>1175</v>
      </c>
      <c r="C176" s="4" t="s">
        <v>1138</v>
      </c>
      <c r="D176" s="4" t="s">
        <v>18</v>
      </c>
      <c r="E176" s="5" t="s">
        <v>19</v>
      </c>
      <c r="F176" s="6" t="s">
        <v>1176</v>
      </c>
      <c r="G176" s="6" t="s">
        <v>1177</v>
      </c>
      <c r="H176" s="6" t="s">
        <v>1178</v>
      </c>
      <c r="I176" s="6" t="s">
        <v>87</v>
      </c>
      <c r="J176" s="6" t="s">
        <v>1179</v>
      </c>
      <c r="K176" s="4" t="s">
        <v>43</v>
      </c>
      <c r="L176" s="6" t="s">
        <v>26</v>
      </c>
      <c r="M176" s="6" t="s">
        <v>121</v>
      </c>
      <c r="N176" s="6" t="s">
        <v>97</v>
      </c>
      <c r="O176" s="6" t="s">
        <v>29</v>
      </c>
    </row>
    <row r="177" customFormat="false" ht="23.25" hidden="false" customHeight="true" outlineLevel="0" collapsed="false">
      <c r="A177" s="3" t="s">
        <v>1119</v>
      </c>
      <c r="B177" s="6" t="s">
        <v>1180</v>
      </c>
      <c r="C177" s="6" t="s">
        <v>1138</v>
      </c>
      <c r="D177" s="6" t="s">
        <v>18</v>
      </c>
      <c r="E177" s="5" t="s">
        <v>19</v>
      </c>
      <c r="F177" s="6" t="s">
        <v>1181</v>
      </c>
      <c r="G177" s="6" t="s">
        <v>1182</v>
      </c>
      <c r="H177" s="6" t="s">
        <v>1183</v>
      </c>
      <c r="I177" s="6" t="s">
        <v>1184</v>
      </c>
      <c r="J177" s="6" t="s">
        <v>1185</v>
      </c>
      <c r="K177" s="6" t="s">
        <v>43</v>
      </c>
      <c r="L177" s="6" t="s">
        <v>120</v>
      </c>
      <c r="M177" s="6" t="s">
        <v>121</v>
      </c>
      <c r="N177" s="6" t="s">
        <v>97</v>
      </c>
      <c r="O177" s="6" t="s">
        <v>29</v>
      </c>
    </row>
    <row r="178" customFormat="false" ht="57" hidden="false" customHeight="true" outlineLevel="0" collapsed="false">
      <c r="A178" s="3" t="s">
        <v>1119</v>
      </c>
      <c r="B178" s="4" t="s">
        <v>1186</v>
      </c>
      <c r="C178" s="4" t="s">
        <v>77</v>
      </c>
      <c r="D178" s="4" t="s">
        <v>18</v>
      </c>
      <c r="E178" s="5" t="s">
        <v>19</v>
      </c>
      <c r="F178" s="6" t="s">
        <v>1187</v>
      </c>
      <c r="G178" s="6" t="s">
        <v>1188</v>
      </c>
      <c r="H178" s="6" t="s">
        <v>1189</v>
      </c>
      <c r="I178" s="6" t="s">
        <v>87</v>
      </c>
      <c r="J178" s="6" t="s">
        <v>1190</v>
      </c>
      <c r="K178" s="4" t="s">
        <v>43</v>
      </c>
      <c r="L178" s="6" t="s">
        <v>26</v>
      </c>
      <c r="M178" s="6" t="s">
        <v>121</v>
      </c>
      <c r="N178" s="6" t="s">
        <v>97</v>
      </c>
      <c r="O178" s="6" t="s">
        <v>29</v>
      </c>
    </row>
    <row r="179" customFormat="false" ht="23.25" hidden="false" customHeight="true" outlineLevel="0" collapsed="false">
      <c r="A179" s="3" t="s">
        <v>1119</v>
      </c>
      <c r="B179" s="6" t="s">
        <v>1191</v>
      </c>
      <c r="C179" s="6" t="s">
        <v>77</v>
      </c>
      <c r="D179" s="6" t="s">
        <v>18</v>
      </c>
      <c r="E179" s="5" t="s">
        <v>19</v>
      </c>
      <c r="F179" s="6" t="s">
        <v>1192</v>
      </c>
      <c r="G179" s="6" t="s">
        <v>1193</v>
      </c>
      <c r="H179" s="6" t="s">
        <v>1194</v>
      </c>
      <c r="I179" s="6" t="s">
        <v>87</v>
      </c>
      <c r="J179" s="6" t="s">
        <v>1195</v>
      </c>
      <c r="K179" s="6" t="s">
        <v>43</v>
      </c>
      <c r="L179" s="6" t="s">
        <v>26</v>
      </c>
      <c r="M179" s="6" t="s">
        <v>121</v>
      </c>
      <c r="N179" s="6" t="s">
        <v>97</v>
      </c>
      <c r="O179" s="6" t="s">
        <v>29</v>
      </c>
    </row>
    <row r="180" customFormat="false" ht="34.5" hidden="false" customHeight="true" outlineLevel="0" collapsed="false">
      <c r="A180" s="3" t="s">
        <v>1119</v>
      </c>
      <c r="B180" s="4" t="s">
        <v>1196</v>
      </c>
      <c r="C180" s="4" t="s">
        <v>77</v>
      </c>
      <c r="D180" s="4" t="s">
        <v>18</v>
      </c>
      <c r="E180" s="5" t="s">
        <v>19</v>
      </c>
      <c r="F180" s="6" t="s">
        <v>1197</v>
      </c>
      <c r="G180" s="6" t="s">
        <v>1198</v>
      </c>
      <c r="H180" s="6" t="s">
        <v>1199</v>
      </c>
      <c r="I180" s="6" t="s">
        <v>87</v>
      </c>
      <c r="J180" s="6" t="s">
        <v>1200</v>
      </c>
      <c r="K180" s="4" t="s">
        <v>43</v>
      </c>
      <c r="L180" s="6" t="s">
        <v>26</v>
      </c>
      <c r="M180" s="6" t="s">
        <v>121</v>
      </c>
      <c r="N180" s="6" t="s">
        <v>97</v>
      </c>
      <c r="O180" s="6" t="s">
        <v>29</v>
      </c>
    </row>
    <row r="181" customFormat="false" ht="34.5" hidden="false" customHeight="true" outlineLevel="0" collapsed="false">
      <c r="A181" s="3" t="s">
        <v>1119</v>
      </c>
      <c r="B181" s="6" t="s">
        <v>1201</v>
      </c>
      <c r="C181" s="6" t="s">
        <v>1121</v>
      </c>
      <c r="D181" s="6" t="s">
        <v>18</v>
      </c>
      <c r="E181" s="5" t="s">
        <v>19</v>
      </c>
      <c r="F181" s="6" t="s">
        <v>1202</v>
      </c>
      <c r="G181" s="6" t="s">
        <v>1203</v>
      </c>
      <c r="H181" s="6" t="s">
        <v>1204</v>
      </c>
      <c r="I181" s="6" t="s">
        <v>87</v>
      </c>
      <c r="J181" s="6" t="s">
        <v>1205</v>
      </c>
      <c r="K181" s="6" t="s">
        <v>43</v>
      </c>
      <c r="L181" s="6" t="s">
        <v>26</v>
      </c>
      <c r="M181" s="6" t="s">
        <v>1206</v>
      </c>
      <c r="N181" s="6" t="s">
        <v>97</v>
      </c>
      <c r="O181" s="6" t="s">
        <v>29</v>
      </c>
    </row>
    <row r="182" customFormat="false" ht="79.5" hidden="false" customHeight="true" outlineLevel="0" collapsed="false">
      <c r="A182" s="3" t="s">
        <v>1119</v>
      </c>
      <c r="B182" s="4" t="s">
        <v>1207</v>
      </c>
      <c r="C182" s="4" t="s">
        <v>1208</v>
      </c>
      <c r="D182" s="4" t="s">
        <v>18</v>
      </c>
      <c r="E182" s="7" t="s">
        <v>31</v>
      </c>
      <c r="F182" s="6" t="s">
        <v>1209</v>
      </c>
      <c r="G182" s="6" t="s">
        <v>1210</v>
      </c>
      <c r="H182" s="6" t="s">
        <v>1211</v>
      </c>
      <c r="I182" s="6" t="s">
        <v>1212</v>
      </c>
      <c r="J182" s="6" t="s">
        <v>1213</v>
      </c>
      <c r="K182" s="4" t="s">
        <v>43</v>
      </c>
      <c r="L182" s="6" t="s">
        <v>69</v>
      </c>
      <c r="M182" s="6" t="s">
        <v>1214</v>
      </c>
      <c r="N182" s="7" t="s">
        <v>1215</v>
      </c>
      <c r="O182" s="7" t="s">
        <v>1216</v>
      </c>
    </row>
    <row r="183" customFormat="false" ht="68.25" hidden="false" customHeight="true" outlineLevel="0" collapsed="false">
      <c r="A183" s="3" t="s">
        <v>1119</v>
      </c>
      <c r="B183" s="6" t="s">
        <v>1217</v>
      </c>
      <c r="C183" s="6" t="s">
        <v>1121</v>
      </c>
      <c r="D183" s="6" t="s">
        <v>18</v>
      </c>
      <c r="E183" s="5" t="s">
        <v>19</v>
      </c>
      <c r="F183" s="6" t="s">
        <v>1218</v>
      </c>
      <c r="G183" s="6" t="s">
        <v>1219</v>
      </c>
      <c r="H183" s="6" t="s">
        <v>1220</v>
      </c>
      <c r="I183" s="6" t="s">
        <v>87</v>
      </c>
      <c r="J183" s="6" t="s">
        <v>1221</v>
      </c>
      <c r="K183" s="6" t="s">
        <v>43</v>
      </c>
      <c r="L183" s="6" t="s">
        <v>26</v>
      </c>
      <c r="M183" s="6" t="s">
        <v>121</v>
      </c>
      <c r="N183" s="8" t="s">
        <v>1222</v>
      </c>
      <c r="O183" s="9" t="s">
        <v>170</v>
      </c>
    </row>
    <row r="184" customFormat="false" ht="90.75" hidden="false" customHeight="true" outlineLevel="0" collapsed="false">
      <c r="A184" s="3" t="s">
        <v>1119</v>
      </c>
      <c r="B184" s="4" t="s">
        <v>1223</v>
      </c>
      <c r="C184" s="4" t="s">
        <v>1121</v>
      </c>
      <c r="D184" s="4" t="s">
        <v>1224</v>
      </c>
      <c r="E184" s="7" t="s">
        <v>31</v>
      </c>
      <c r="F184" s="6" t="s">
        <v>1225</v>
      </c>
      <c r="G184" s="6" t="s">
        <v>1226</v>
      </c>
      <c r="H184" s="6" t="s">
        <v>1227</v>
      </c>
      <c r="I184" s="6" t="s">
        <v>1228</v>
      </c>
      <c r="J184" s="6" t="s">
        <v>1229</v>
      </c>
      <c r="K184" s="4" t="s">
        <v>43</v>
      </c>
      <c r="L184" s="6" t="s">
        <v>26</v>
      </c>
      <c r="M184" s="6" t="s">
        <v>1230</v>
      </c>
      <c r="N184" s="7" t="s">
        <v>1231</v>
      </c>
      <c r="O184" s="8" t="s">
        <v>1232</v>
      </c>
    </row>
    <row r="185" customFormat="false" ht="90.75" hidden="false" customHeight="true" outlineLevel="0" collapsed="false">
      <c r="A185" s="3" t="s">
        <v>1119</v>
      </c>
      <c r="B185" s="6" t="s">
        <v>1233</v>
      </c>
      <c r="C185" s="6" t="s">
        <v>58</v>
      </c>
      <c r="D185" s="6" t="s">
        <v>18</v>
      </c>
      <c r="E185" s="7" t="s">
        <v>31</v>
      </c>
      <c r="F185" s="6" t="s">
        <v>1234</v>
      </c>
      <c r="G185" s="6" t="s">
        <v>838</v>
      </c>
      <c r="H185" s="6" t="s">
        <v>1235</v>
      </c>
      <c r="I185" s="6" t="s">
        <v>224</v>
      </c>
      <c r="J185" s="6" t="s">
        <v>1236</v>
      </c>
      <c r="K185" s="6" t="s">
        <v>43</v>
      </c>
      <c r="L185" s="6" t="s">
        <v>26</v>
      </c>
      <c r="M185" s="6" t="s">
        <v>121</v>
      </c>
      <c r="N185" s="6" t="s">
        <v>97</v>
      </c>
      <c r="O185" s="6" t="s">
        <v>29</v>
      </c>
    </row>
    <row r="186" customFormat="false" ht="68.25" hidden="false" customHeight="true" outlineLevel="0" collapsed="false">
      <c r="A186" s="3" t="s">
        <v>1237</v>
      </c>
      <c r="B186" s="4" t="s">
        <v>1238</v>
      </c>
      <c r="C186" s="4" t="s">
        <v>18</v>
      </c>
      <c r="D186" s="4" t="s">
        <v>606</v>
      </c>
      <c r="E186" s="5" t="s">
        <v>19</v>
      </c>
      <c r="F186" s="6" t="s">
        <v>1239</v>
      </c>
      <c r="G186" s="6" t="s">
        <v>1240</v>
      </c>
      <c r="H186" s="6" t="s">
        <v>1241</v>
      </c>
      <c r="I186" s="6" t="s">
        <v>1242</v>
      </c>
      <c r="J186" s="6" t="s">
        <v>1243</v>
      </c>
      <c r="K186" s="4" t="s">
        <v>25</v>
      </c>
      <c r="L186" s="6" t="s">
        <v>26</v>
      </c>
      <c r="M186" s="6" t="s">
        <v>1244</v>
      </c>
      <c r="N186" s="10" t="s">
        <v>1245</v>
      </c>
      <c r="O186" s="8" t="s">
        <v>459</v>
      </c>
    </row>
    <row r="187" customFormat="false" ht="90.75" hidden="false" customHeight="true" outlineLevel="0" collapsed="false">
      <c r="A187" s="3" t="s">
        <v>1237</v>
      </c>
      <c r="B187" s="6" t="s">
        <v>1246</v>
      </c>
      <c r="C187" s="6" t="s">
        <v>18</v>
      </c>
      <c r="D187" s="6" t="s">
        <v>51</v>
      </c>
      <c r="E187" s="7" t="s">
        <v>31</v>
      </c>
      <c r="F187" s="6" t="s">
        <v>1247</v>
      </c>
      <c r="G187" s="6" t="s">
        <v>1248</v>
      </c>
      <c r="H187" s="6" t="s">
        <v>1249</v>
      </c>
      <c r="I187" s="6" t="s">
        <v>1250</v>
      </c>
      <c r="J187" s="6" t="s">
        <v>1251</v>
      </c>
      <c r="K187" s="6" t="s">
        <v>25</v>
      </c>
      <c r="L187" s="6" t="s">
        <v>69</v>
      </c>
      <c r="M187" s="6" t="s">
        <v>1252</v>
      </c>
      <c r="N187" s="11" t="s">
        <v>1253</v>
      </c>
      <c r="O187" s="6" t="s">
        <v>1254</v>
      </c>
    </row>
    <row r="188" customFormat="false" ht="90.75" hidden="false" customHeight="true" outlineLevel="0" collapsed="false">
      <c r="A188" s="3" t="s">
        <v>1237</v>
      </c>
      <c r="B188" s="4" t="s">
        <v>1255</v>
      </c>
      <c r="C188" s="4" t="s">
        <v>18</v>
      </c>
      <c r="D188" s="4" t="s">
        <v>1256</v>
      </c>
      <c r="E188" s="7" t="s">
        <v>31</v>
      </c>
      <c r="F188" s="6" t="s">
        <v>1257</v>
      </c>
      <c r="G188" s="6" t="s">
        <v>39</v>
      </c>
      <c r="H188" s="6" t="s">
        <v>1258</v>
      </c>
      <c r="I188" s="6" t="s">
        <v>1259</v>
      </c>
      <c r="J188" s="6" t="s">
        <v>1260</v>
      </c>
      <c r="K188" s="4" t="s">
        <v>43</v>
      </c>
      <c r="L188" s="6" t="s">
        <v>69</v>
      </c>
      <c r="M188" s="6" t="s">
        <v>1261</v>
      </c>
      <c r="N188" s="10" t="s">
        <v>1262</v>
      </c>
      <c r="O188" s="8" t="s">
        <v>459</v>
      </c>
    </row>
  </sheetData>
  <autoFilter ref="A1:O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4" min="3" style="1" width="12"/>
    <col collapsed="false" customWidth="true" hidden="false" outlineLevel="0" max="5" min="5" style="1" width="16"/>
    <col collapsed="false" customWidth="true" hidden="false" outlineLevel="0" max="6" min="6" style="1" width="12"/>
    <col collapsed="false" customWidth="true" hidden="false" outlineLevel="0" max="8" min="7" style="1" width="14"/>
    <col collapsed="false" customWidth="true" hidden="false" outlineLevel="0" max="9" min="9" style="1" width="10"/>
    <col collapsed="false" customWidth="true" hidden="false" outlineLevel="0" max="10" min="10" style="1" width="16"/>
  </cols>
  <sheetData>
    <row r="1" customFormat="false" ht="15" hidden="false" customHeight="true" outlineLevel="0" collapsed="false">
      <c r="A1" s="12" t="s">
        <v>0</v>
      </c>
      <c r="B1" s="2" t="s">
        <v>1263</v>
      </c>
      <c r="C1" s="2" t="s">
        <v>19</v>
      </c>
      <c r="D1" s="2" t="s">
        <v>31</v>
      </c>
      <c r="E1" s="2" t="s">
        <v>1264</v>
      </c>
      <c r="F1" s="2" t="s">
        <v>1265</v>
      </c>
      <c r="G1" s="2" t="s">
        <v>1266</v>
      </c>
      <c r="H1" s="2" t="s">
        <v>1267</v>
      </c>
      <c r="I1" s="2" t="s">
        <v>1268</v>
      </c>
      <c r="J1" s="2" t="s">
        <v>1269</v>
      </c>
    </row>
    <row r="2" customFormat="false" ht="15" hidden="false" customHeight="true" outlineLevel="0" collapsed="false">
      <c r="A2" s="6" t="s">
        <v>15</v>
      </c>
      <c r="B2" s="13" t="n">
        <f aca="false">COUNTIF('Test Scenarios'!$A$2:$A$188,$A2)</f>
        <v>21</v>
      </c>
      <c r="C2" s="13" t="n">
        <f aca="false">COUNTIFS('Test Scenarios'!$A$2:$A$188,$A2,'Test Scenarios'!$E$2:$E$188,"Positive")</f>
        <v>6</v>
      </c>
      <c r="D2" s="13" t="n">
        <f aca="false">COUNTIFS('Test Scenarios'!$A$2:$A$188,$A2,'Test Scenarios'!$E$2:$E$188,"Negative")</f>
        <v>15</v>
      </c>
      <c r="E2" s="13" t="n">
        <f aca="false">COUNTIFS('Test Scenarios'!$A$2:$A$188,$A2,'Test Scenarios'!$M$2:$M$188,"File cũ")</f>
        <v>10</v>
      </c>
      <c r="F2" s="13" t="n">
        <f aca="false">B2-E2</f>
        <v>11</v>
      </c>
      <c r="G2" s="13" t="n">
        <f aca="false">COUNTIFS('Test Scenarios'!$A$2:$A$188,$A2,'Test Scenarios'!$N$2:$N$188,"FAIL*")</f>
        <v>3</v>
      </c>
      <c r="H2" s="13" t="n">
        <f aca="false">COUNTIFS('Test Scenarios'!$A$2:$A$188,$A2,'Test Scenarios'!$N$2:$N$188,"Cần xác nhận*")</f>
        <v>1</v>
      </c>
      <c r="I2" s="13" t="n">
        <f aca="false">COUNTIFS('Test Scenarios'!$A$2:$A$188,$A2,'Test Scenarios'!$O$2:$O$188,"Lệch BA*")</f>
        <v>2</v>
      </c>
      <c r="J2" s="13" t="n">
        <f aca="false">COUNTIFS('Test Scenarios'!$A$2:$A$188,$A2,'Test Scenarios'!$O$2:$O$188,"BA chưa quy định*")</f>
        <v>1</v>
      </c>
    </row>
    <row r="3" customFormat="false" ht="15" hidden="false" customHeight="true" outlineLevel="0" collapsed="false">
      <c r="A3" s="6" t="s">
        <v>171</v>
      </c>
      <c r="B3" s="13" t="n">
        <f aca="false">COUNTIF('Test Scenarios'!$A$2:$A$188,$A3)</f>
        <v>20</v>
      </c>
      <c r="C3" s="13" t="n">
        <f aca="false">COUNTIFS('Test Scenarios'!$A$2:$A$188,$A3,'Test Scenarios'!$E$2:$E$188,"Positive")</f>
        <v>10</v>
      </c>
      <c r="D3" s="13" t="n">
        <f aca="false">COUNTIFS('Test Scenarios'!$A$2:$A$188,$A3,'Test Scenarios'!$E$2:$E$188,"Negative")</f>
        <v>10</v>
      </c>
      <c r="E3" s="13" t="n">
        <f aca="false">COUNTIFS('Test Scenarios'!$A$2:$A$188,$A3,'Test Scenarios'!$M$2:$M$188,"File cũ")</f>
        <v>10</v>
      </c>
      <c r="F3" s="13" t="n">
        <f aca="false">B3-E3</f>
        <v>10</v>
      </c>
      <c r="G3" s="13" t="n">
        <f aca="false">COUNTIFS('Test Scenarios'!$A$2:$A$188,$A3,'Test Scenarios'!$N$2:$N$188,"FAIL*")</f>
        <v>5</v>
      </c>
      <c r="H3" s="13" t="n">
        <f aca="false">COUNTIFS('Test Scenarios'!$A$2:$A$188,$A3,'Test Scenarios'!$N$2:$N$188,"Cần xác nhận*")</f>
        <v>1</v>
      </c>
      <c r="I3" s="13" t="n">
        <f aca="false">COUNTIFS('Test Scenarios'!$A$2:$A$188,$A3,'Test Scenarios'!$O$2:$O$188,"Lệch BA*")</f>
        <v>5</v>
      </c>
      <c r="J3" s="13" t="n">
        <f aca="false">COUNTIFS('Test Scenarios'!$A$2:$A$188,$A3,'Test Scenarios'!$O$2:$O$188,"BA chưa quy định*")</f>
        <v>1</v>
      </c>
    </row>
    <row r="4" customFormat="false" ht="15" hidden="false" customHeight="true" outlineLevel="0" collapsed="false">
      <c r="A4" s="6" t="s">
        <v>309</v>
      </c>
      <c r="B4" s="13" t="n">
        <f aca="false">COUNTIF('Test Scenarios'!$A$2:$A$188,$A4)</f>
        <v>22</v>
      </c>
      <c r="C4" s="13" t="n">
        <f aca="false">COUNTIFS('Test Scenarios'!$A$2:$A$188,$A4,'Test Scenarios'!$E$2:$E$188,"Positive")</f>
        <v>6</v>
      </c>
      <c r="D4" s="13" t="n">
        <f aca="false">COUNTIFS('Test Scenarios'!$A$2:$A$188,$A4,'Test Scenarios'!$E$2:$E$188,"Negative")</f>
        <v>16</v>
      </c>
      <c r="E4" s="13" t="n">
        <f aca="false">COUNTIFS('Test Scenarios'!$A$2:$A$188,$A4,'Test Scenarios'!$M$2:$M$188,"File cũ")</f>
        <v>12</v>
      </c>
      <c r="F4" s="13" t="n">
        <f aca="false">B4-E4</f>
        <v>10</v>
      </c>
      <c r="G4" s="13" t="n">
        <f aca="false">COUNTIFS('Test Scenarios'!$A$2:$A$188,$A4,'Test Scenarios'!$N$2:$N$188,"FAIL*")</f>
        <v>6</v>
      </c>
      <c r="H4" s="13" t="n">
        <f aca="false">COUNTIFS('Test Scenarios'!$A$2:$A$188,$A4,'Test Scenarios'!$N$2:$N$188,"Cần xác nhận*")</f>
        <v>0</v>
      </c>
      <c r="I4" s="13" t="n">
        <f aca="false">COUNTIFS('Test Scenarios'!$A$2:$A$188,$A4,'Test Scenarios'!$O$2:$O$188,"Lệch BA*")</f>
        <v>2</v>
      </c>
      <c r="J4" s="13" t="n">
        <f aca="false">COUNTIFS('Test Scenarios'!$A$2:$A$188,$A4,'Test Scenarios'!$O$2:$O$188,"BA chưa quy định*")</f>
        <v>6</v>
      </c>
    </row>
    <row r="5" customFormat="false" ht="15" hidden="false" customHeight="true" outlineLevel="0" collapsed="false">
      <c r="A5" s="6" t="s">
        <v>468</v>
      </c>
      <c r="B5" s="13" t="n">
        <f aca="false">COUNTIF('Test Scenarios'!$A$2:$A$188,$A5)</f>
        <v>20</v>
      </c>
      <c r="C5" s="13" t="n">
        <f aca="false">COUNTIFS('Test Scenarios'!$A$2:$A$188,$A5,'Test Scenarios'!$E$2:$E$188,"Positive")</f>
        <v>8</v>
      </c>
      <c r="D5" s="13" t="n">
        <f aca="false">COUNTIFS('Test Scenarios'!$A$2:$A$188,$A5,'Test Scenarios'!$E$2:$E$188,"Negative")</f>
        <v>12</v>
      </c>
      <c r="E5" s="13" t="n">
        <f aca="false">COUNTIFS('Test Scenarios'!$A$2:$A$188,$A5,'Test Scenarios'!$M$2:$M$188,"File cũ")</f>
        <v>7</v>
      </c>
      <c r="F5" s="13" t="n">
        <f aca="false">B5-E5</f>
        <v>13</v>
      </c>
      <c r="G5" s="13" t="n">
        <f aca="false">COUNTIFS('Test Scenarios'!$A$2:$A$188,$A5,'Test Scenarios'!$N$2:$N$188,"FAIL*")</f>
        <v>6</v>
      </c>
      <c r="H5" s="13" t="n">
        <f aca="false">COUNTIFS('Test Scenarios'!$A$2:$A$188,$A5,'Test Scenarios'!$N$2:$N$188,"Cần xác nhận*")</f>
        <v>3</v>
      </c>
      <c r="I5" s="13" t="n">
        <f aca="false">COUNTIFS('Test Scenarios'!$A$2:$A$188,$A5,'Test Scenarios'!$O$2:$O$188,"Lệch BA*")</f>
        <v>3</v>
      </c>
      <c r="J5" s="13" t="n">
        <f aca="false">COUNTIFS('Test Scenarios'!$A$2:$A$188,$A5,'Test Scenarios'!$O$2:$O$188,"BA chưa quy định*")</f>
        <v>3</v>
      </c>
    </row>
    <row r="6" customFormat="false" ht="15" hidden="false" customHeight="true" outlineLevel="0" collapsed="false">
      <c r="A6" s="6" t="s">
        <v>627</v>
      </c>
      <c r="B6" s="13" t="n">
        <f aca="false">COUNTIF('Test Scenarios'!$A$2:$A$188,$A6)</f>
        <v>21</v>
      </c>
      <c r="C6" s="13" t="n">
        <f aca="false">COUNTIFS('Test Scenarios'!$A$2:$A$188,$A6,'Test Scenarios'!$E$2:$E$188,"Positive")</f>
        <v>12</v>
      </c>
      <c r="D6" s="13" t="n">
        <f aca="false">COUNTIFS('Test Scenarios'!$A$2:$A$188,$A6,'Test Scenarios'!$E$2:$E$188,"Negative")</f>
        <v>9</v>
      </c>
      <c r="E6" s="13" t="n">
        <f aca="false">COUNTIFS('Test Scenarios'!$A$2:$A$188,$A6,'Test Scenarios'!$M$2:$M$188,"File cũ")</f>
        <v>5</v>
      </c>
      <c r="F6" s="13" t="n">
        <f aca="false">B6-E6</f>
        <v>16</v>
      </c>
      <c r="G6" s="13" t="n">
        <f aca="false">COUNTIFS('Test Scenarios'!$A$2:$A$188,$A6,'Test Scenarios'!$N$2:$N$188,"FAIL*")</f>
        <v>5</v>
      </c>
      <c r="H6" s="13" t="n">
        <f aca="false">COUNTIFS('Test Scenarios'!$A$2:$A$188,$A6,'Test Scenarios'!$N$2:$N$188,"Cần xác nhận*")</f>
        <v>1</v>
      </c>
      <c r="I6" s="13" t="n">
        <f aca="false">COUNTIFS('Test Scenarios'!$A$2:$A$188,$A6,'Test Scenarios'!$O$2:$O$188,"Lệch BA*")</f>
        <v>4</v>
      </c>
      <c r="J6" s="13" t="n">
        <f aca="false">COUNTIFS('Test Scenarios'!$A$2:$A$188,$A6,'Test Scenarios'!$O$2:$O$188,"BA chưa quy định*")</f>
        <v>1</v>
      </c>
    </row>
    <row r="7" customFormat="false" ht="15" hidden="false" customHeight="true" outlineLevel="0" collapsed="false">
      <c r="A7" s="6" t="s">
        <v>751</v>
      </c>
      <c r="B7" s="13" t="n">
        <f aca="false">COUNTIF('Test Scenarios'!$A$2:$A$188,$A7)</f>
        <v>20</v>
      </c>
      <c r="C7" s="13" t="n">
        <f aca="false">COUNTIFS('Test Scenarios'!$A$2:$A$188,$A7,'Test Scenarios'!$E$2:$E$188,"Positive")</f>
        <v>10</v>
      </c>
      <c r="D7" s="13" t="n">
        <f aca="false">COUNTIFS('Test Scenarios'!$A$2:$A$188,$A7,'Test Scenarios'!$E$2:$E$188,"Negative")</f>
        <v>10</v>
      </c>
      <c r="E7" s="13" t="n">
        <f aca="false">COUNTIFS('Test Scenarios'!$A$2:$A$188,$A7,'Test Scenarios'!$M$2:$M$188,"File cũ")</f>
        <v>4</v>
      </c>
      <c r="F7" s="13" t="n">
        <f aca="false">B7-E7</f>
        <v>16</v>
      </c>
      <c r="G7" s="13" t="n">
        <f aca="false">COUNTIFS('Test Scenarios'!$A$2:$A$188,$A7,'Test Scenarios'!$N$2:$N$188,"FAIL*")</f>
        <v>2</v>
      </c>
      <c r="H7" s="13" t="n">
        <f aca="false">COUNTIFS('Test Scenarios'!$A$2:$A$188,$A7,'Test Scenarios'!$N$2:$N$188,"Cần xác nhận*")</f>
        <v>0</v>
      </c>
      <c r="I7" s="13" t="n">
        <f aca="false">COUNTIFS('Test Scenarios'!$A$2:$A$188,$A7,'Test Scenarios'!$O$2:$O$188,"Lệch BA*")</f>
        <v>1</v>
      </c>
      <c r="J7" s="13" t="n">
        <f aca="false">COUNTIFS('Test Scenarios'!$A$2:$A$188,$A7,'Test Scenarios'!$O$2:$O$188,"BA chưa quy định*")</f>
        <v>4</v>
      </c>
    </row>
    <row r="8" customFormat="false" ht="15" hidden="false" customHeight="true" outlineLevel="0" collapsed="false">
      <c r="A8" s="6" t="s">
        <v>855</v>
      </c>
      <c r="B8" s="13" t="n">
        <f aca="false">COUNTIF('Test Scenarios'!$A$2:$A$188,$A8)</f>
        <v>20</v>
      </c>
      <c r="C8" s="13" t="n">
        <f aca="false">COUNTIFS('Test Scenarios'!$A$2:$A$188,$A8,'Test Scenarios'!$E$2:$E$188,"Positive")</f>
        <v>9</v>
      </c>
      <c r="D8" s="13" t="n">
        <f aca="false">COUNTIFS('Test Scenarios'!$A$2:$A$188,$A8,'Test Scenarios'!$E$2:$E$188,"Negative")</f>
        <v>11</v>
      </c>
      <c r="E8" s="13" t="n">
        <f aca="false">COUNTIFS('Test Scenarios'!$A$2:$A$188,$A8,'Test Scenarios'!$M$2:$M$188,"File cũ")</f>
        <v>8</v>
      </c>
      <c r="F8" s="13" t="n">
        <f aca="false">B8-E8</f>
        <v>12</v>
      </c>
      <c r="G8" s="13" t="n">
        <f aca="false">COUNTIFS('Test Scenarios'!$A$2:$A$188,$A8,'Test Scenarios'!$N$2:$N$188,"FAIL*")</f>
        <v>4</v>
      </c>
      <c r="H8" s="13" t="n">
        <f aca="false">COUNTIFS('Test Scenarios'!$A$2:$A$188,$A8,'Test Scenarios'!$N$2:$N$188,"Cần xác nhận*")</f>
        <v>4</v>
      </c>
      <c r="I8" s="13" t="n">
        <f aca="false">COUNTIFS('Test Scenarios'!$A$2:$A$188,$A8,'Test Scenarios'!$O$2:$O$188,"Lệch BA*")</f>
        <v>3</v>
      </c>
      <c r="J8" s="13" t="n">
        <f aca="false">COUNTIFS('Test Scenarios'!$A$2:$A$188,$A8,'Test Scenarios'!$O$2:$O$188,"BA chưa quy định*")</f>
        <v>2</v>
      </c>
    </row>
    <row r="9" customFormat="false" ht="15" hidden="false" customHeight="true" outlineLevel="0" collapsed="false">
      <c r="A9" s="6" t="s">
        <v>991</v>
      </c>
      <c r="B9" s="13" t="n">
        <f aca="false">COUNTIF('Test Scenarios'!$A$2:$A$188,$A9)</f>
        <v>20</v>
      </c>
      <c r="C9" s="13" t="n">
        <f aca="false">COUNTIFS('Test Scenarios'!$A$2:$A$188,$A9,'Test Scenarios'!$E$2:$E$188,"Positive")</f>
        <v>12</v>
      </c>
      <c r="D9" s="13" t="n">
        <f aca="false">COUNTIFS('Test Scenarios'!$A$2:$A$188,$A9,'Test Scenarios'!$E$2:$E$188,"Negative")</f>
        <v>8</v>
      </c>
      <c r="E9" s="13" t="n">
        <f aca="false">COUNTIFS('Test Scenarios'!$A$2:$A$188,$A9,'Test Scenarios'!$M$2:$M$188,"File cũ")</f>
        <v>5</v>
      </c>
      <c r="F9" s="13" t="n">
        <f aca="false">B9-E9</f>
        <v>15</v>
      </c>
      <c r="G9" s="13" t="n">
        <f aca="false">COUNTIFS('Test Scenarios'!$A$2:$A$188,$A9,'Test Scenarios'!$N$2:$N$188,"FAIL*")</f>
        <v>6</v>
      </c>
      <c r="H9" s="13" t="n">
        <f aca="false">COUNTIFS('Test Scenarios'!$A$2:$A$188,$A9,'Test Scenarios'!$N$2:$N$188,"Cần xác nhận*")</f>
        <v>0</v>
      </c>
      <c r="I9" s="13" t="n">
        <f aca="false">COUNTIFS('Test Scenarios'!$A$2:$A$188,$A9,'Test Scenarios'!$O$2:$O$188,"Lệch BA*")</f>
        <v>3</v>
      </c>
      <c r="J9" s="13" t="n">
        <f aca="false">COUNTIFS('Test Scenarios'!$A$2:$A$188,$A9,'Test Scenarios'!$O$2:$O$188,"BA chưa quy định*")</f>
        <v>3</v>
      </c>
    </row>
    <row r="10" customFormat="false" ht="15" hidden="false" customHeight="true" outlineLevel="0" collapsed="false">
      <c r="A10" s="6" t="s">
        <v>1119</v>
      </c>
      <c r="B10" s="13" t="n">
        <f aca="false">COUNTIF('Test Scenarios'!$A$2:$A$188,$A10)</f>
        <v>20</v>
      </c>
      <c r="C10" s="13" t="n">
        <f aca="false">COUNTIFS('Test Scenarios'!$A$2:$A$188,$A10,'Test Scenarios'!$E$2:$E$188,"Positive")</f>
        <v>15</v>
      </c>
      <c r="D10" s="13" t="n">
        <f aca="false">COUNTIFS('Test Scenarios'!$A$2:$A$188,$A10,'Test Scenarios'!$E$2:$E$188,"Negative")</f>
        <v>5</v>
      </c>
      <c r="E10" s="13" t="n">
        <f aca="false">COUNTIFS('Test Scenarios'!$A$2:$A$188,$A10,'Test Scenarios'!$M$2:$M$188,"File cũ")</f>
        <v>7</v>
      </c>
      <c r="F10" s="13" t="n">
        <f aca="false">B10-E10</f>
        <v>13</v>
      </c>
      <c r="G10" s="13" t="n">
        <f aca="false">COUNTIFS('Test Scenarios'!$A$2:$A$188,$A10,'Test Scenarios'!$N$2:$N$188,"FAIL*")</f>
        <v>2</v>
      </c>
      <c r="H10" s="13" t="n">
        <f aca="false">COUNTIFS('Test Scenarios'!$A$2:$A$188,$A10,'Test Scenarios'!$N$2:$N$188,"Cần xác nhận*")</f>
        <v>1</v>
      </c>
      <c r="I10" s="13" t="n">
        <f aca="false">COUNTIFS('Test Scenarios'!$A$2:$A$188,$A10,'Test Scenarios'!$O$2:$O$188,"Lệch BA*")</f>
        <v>1</v>
      </c>
      <c r="J10" s="13" t="n">
        <f aca="false">COUNTIFS('Test Scenarios'!$A$2:$A$188,$A10,'Test Scenarios'!$O$2:$O$188,"BA chưa quy định*")</f>
        <v>4</v>
      </c>
    </row>
    <row r="11" customFormat="false" ht="15" hidden="false" customHeight="true" outlineLevel="0" collapsed="false">
      <c r="A11" s="14" t="s">
        <v>1237</v>
      </c>
      <c r="B11" s="13" t="n">
        <f aca="false">COUNTIF('Test Scenarios'!$A$2:$A$188,$A11)</f>
        <v>3</v>
      </c>
      <c r="C11" s="13" t="n">
        <f aca="false">COUNTIFS('Test Scenarios'!$A$2:$A$188,$A11,'Test Scenarios'!$E$2:$E$188,"Positive")</f>
        <v>1</v>
      </c>
      <c r="D11" s="13" t="n">
        <f aca="false">COUNTIFS('Test Scenarios'!$A$2:$A$188,$A11,'Test Scenarios'!$E$2:$E$188,"Negative")</f>
        <v>2</v>
      </c>
      <c r="E11" s="13" t="n">
        <f aca="false">COUNTIFS('Test Scenarios'!$A$2:$A$188,$A11,'Test Scenarios'!$M$2:$M$188,"File cũ")</f>
        <v>0</v>
      </c>
      <c r="F11" s="13" t="n">
        <f aca="false">B11-E11</f>
        <v>3</v>
      </c>
      <c r="G11" s="13" t="n">
        <f aca="false">COUNTIFS('Test Scenarios'!$A$2:$A$188,$A11,'Test Scenarios'!$N$2:$N$188,"FAIL*")</f>
        <v>2</v>
      </c>
      <c r="H11" s="13" t="n">
        <f aca="false">COUNTIFS('Test Scenarios'!$A$2:$A$188,$A11,'Test Scenarios'!$N$2:$N$188,"Cần xác nhận*")</f>
        <v>0</v>
      </c>
      <c r="I11" s="13" t="n">
        <f aca="false">COUNTIFS('Test Scenarios'!$A$2:$A$188,$A11,'Test Scenarios'!$O$2:$O$188,"Lệch BA*")</f>
        <v>0</v>
      </c>
      <c r="J11" s="13" t="n">
        <f aca="false">COUNTIFS('Test Scenarios'!$A$2:$A$188,$A11,'Test Scenarios'!$O$2:$O$188,"BA chưa quy định*")</f>
        <v>2</v>
      </c>
    </row>
    <row r="12" customFormat="false" ht="15" hidden="false" customHeight="true" outlineLevel="0" collapsed="false">
      <c r="A12" s="15" t="s">
        <v>1270</v>
      </c>
      <c r="B12" s="16" t="n">
        <f aca="false">SUM(B2:B11)</f>
        <v>187</v>
      </c>
      <c r="C12" s="16" t="n">
        <f aca="false">SUM(C2:C11)</f>
        <v>89</v>
      </c>
      <c r="D12" s="16" t="n">
        <f aca="false">SUM(D2:D11)</f>
        <v>98</v>
      </c>
      <c r="E12" s="16" t="n">
        <f aca="false">SUM(E2:E11)</f>
        <v>68</v>
      </c>
      <c r="F12" s="16" t="n">
        <f aca="false">SUM(F2:F11)</f>
        <v>119</v>
      </c>
      <c r="G12" s="16" t="n">
        <f aca="false">SUM(G2:G11)</f>
        <v>41</v>
      </c>
      <c r="H12" s="16" t="n">
        <f aca="false">SUM(H2:H11)</f>
        <v>11</v>
      </c>
      <c r="I12" s="16" t="n">
        <f aca="false">SUM(I2:I11)</f>
        <v>24</v>
      </c>
      <c r="J12" s="16" t="n">
        <f aca="false">SUM(J2:J11)</f>
        <v>27</v>
      </c>
    </row>
    <row r="13" customFormat="false" ht="15" hidden="false" customHeight="true" outlineLevel="0" collapsed="false"/>
    <row r="14" customFormat="false" ht="39.75" hidden="false" customHeight="true" outlineLevel="0" collapsed="false">
      <c r="A14" s="17" t="s">
        <v>1271</v>
      </c>
    </row>
    <row r="15" customFormat="false" ht="24.75" hidden="false" customHeight="true" outlineLevel="0" collapsed="false">
      <c r="A15" s="18" t="s">
        <v>1272</v>
      </c>
    </row>
    <row r="16" customFormat="false" ht="54.75" hidden="false" customHeight="true" outlineLevel="0" collapsed="false">
      <c r="A16" s="18" t="s">
        <v>1273</v>
      </c>
    </row>
    <row r="17" customFormat="false" ht="69.75" hidden="false" customHeight="true" outlineLevel="0" collapsed="false">
      <c r="A17" s="18" t="s">
        <v>1274</v>
      </c>
    </row>
    <row r="18" customFormat="false" ht="54.75" hidden="false" customHeight="true" outlineLevel="0" collapsed="false">
      <c r="A18" s="18" t="s">
        <v>1275</v>
      </c>
    </row>
    <row r="19" customFormat="false" ht="39.75" hidden="false" customHeight="true" outlineLevel="0" collapsed="false">
      <c r="A19" s="18" t="s">
        <v>1276</v>
      </c>
    </row>
    <row r="20" customFormat="false" ht="54.75" hidden="false" customHeight="true" outlineLevel="0" collapsed="false">
      <c r="A20" s="18" t="s">
        <v>1277</v>
      </c>
    </row>
    <row r="21" customFormat="false" ht="39.75" hidden="false" customHeight="true" outlineLevel="0" collapsed="false">
      <c r="A21" s="18" t="s">
        <v>1278</v>
      </c>
    </row>
    <row r="22" customFormat="false" ht="24.75" hidden="false" customHeight="true" outlineLevel="0" collapsed="false">
      <c r="A22" s="18" t="s">
        <v>1279</v>
      </c>
    </row>
    <row r="23" customFormat="false" ht="99.75" hidden="false" customHeight="true" outlineLevel="0" collapsed="false">
      <c r="A23" s="18" t="s">
        <v>1280</v>
      </c>
    </row>
    <row r="24" customFormat="false" ht="54.75" hidden="false" customHeight="true" outlineLevel="0" collapsed="false">
      <c r="A24" s="18" t="s">
        <v>1281</v>
      </c>
    </row>
    <row r="25" customFormat="false" ht="69.75" hidden="false" customHeight="true" outlineLevel="0" collapsed="false">
      <c r="A25" s="18" t="s">
        <v>1282</v>
      </c>
    </row>
    <row r="26" customFormat="false" ht="114.75" hidden="false" customHeight="true" outlineLevel="0" collapsed="false">
      <c r="A26" s="19" t="s">
        <v>1283</v>
      </c>
      <c r="B26" s="19"/>
      <c r="C26" s="19"/>
      <c r="D26" s="19"/>
      <c r="E26" s="19"/>
      <c r="F26" s="19"/>
      <c r="G26" s="19"/>
      <c r="H26" s="19"/>
      <c r="I26" s="19"/>
      <c r="J26" s="19"/>
    </row>
    <row r="27" customFormat="false" ht="84.75" hidden="false" customHeight="true" outlineLevel="0" collapsed="false">
      <c r="A27" s="19" t="s">
        <v>1284</v>
      </c>
      <c r="B27" s="19"/>
      <c r="C27" s="19"/>
      <c r="D27" s="19"/>
      <c r="E27" s="19"/>
      <c r="F27" s="19"/>
      <c r="G27" s="19"/>
      <c r="H27" s="19"/>
      <c r="I27" s="19"/>
      <c r="J27" s="19"/>
    </row>
    <row r="28" customFormat="false" ht="99.75" hidden="false" customHeight="true" outlineLevel="0" collapsed="false">
      <c r="A28" s="19" t="s">
        <v>1285</v>
      </c>
      <c r="B28" s="19"/>
      <c r="C28" s="19"/>
      <c r="D28" s="19"/>
      <c r="E28" s="19"/>
      <c r="F28" s="19"/>
      <c r="G28" s="19"/>
      <c r="H28" s="19"/>
      <c r="I28" s="19"/>
      <c r="J28" s="19"/>
    </row>
    <row r="29" customFormat="false" ht="69.75" hidden="false" customHeight="true" outlineLevel="0" collapsed="false">
      <c r="A29" s="19" t="s">
        <v>1286</v>
      </c>
      <c r="B29" s="19"/>
      <c r="C29" s="19"/>
      <c r="D29" s="19"/>
      <c r="E29" s="19"/>
      <c r="F29" s="19"/>
      <c r="G29" s="19"/>
      <c r="H29" s="19"/>
      <c r="I29" s="19"/>
      <c r="J29" s="19"/>
    </row>
    <row r="30" customFormat="false" ht="225" hidden="false" customHeight="true" outlineLevel="0" collapsed="false">
      <c r="A30" s="18" t="s">
        <v>1287</v>
      </c>
    </row>
    <row r="31" customFormat="false" ht="69.75" hidden="false" customHeight="true" outlineLevel="0" collapsed="false">
      <c r="A31" s="19" t="s">
        <v>1288</v>
      </c>
      <c r="B31" s="19"/>
      <c r="C31" s="19"/>
      <c r="D31" s="19"/>
      <c r="E31" s="19"/>
      <c r="F31" s="19"/>
      <c r="G31" s="19"/>
      <c r="H31" s="19"/>
      <c r="I31" s="19"/>
      <c r="J31" s="19"/>
    </row>
    <row r="32" customFormat="false" ht="54.75" hidden="false" customHeight="true" outlineLevel="0" collapsed="false">
      <c r="A32" s="19" t="s">
        <v>1289</v>
      </c>
      <c r="B32" s="19"/>
      <c r="C32" s="19"/>
      <c r="D32" s="19"/>
      <c r="E32" s="19"/>
      <c r="F32" s="19"/>
      <c r="G32" s="19"/>
      <c r="H32" s="19"/>
      <c r="I32" s="19"/>
      <c r="J32" s="19"/>
    </row>
    <row r="33" customFormat="false" ht="54.75" hidden="false" customHeight="true" outlineLevel="0" collapsed="false">
      <c r="A33" s="19" t="s">
        <v>1290</v>
      </c>
      <c r="B33" s="19"/>
      <c r="C33" s="19"/>
      <c r="D33" s="19"/>
      <c r="E33" s="19"/>
      <c r="F33" s="19"/>
      <c r="G33" s="19"/>
      <c r="H33" s="19"/>
      <c r="I33" s="19"/>
      <c r="J33" s="19"/>
    </row>
    <row r="34" customFormat="false" ht="69.75" hidden="false" customHeight="true" outlineLevel="0" collapsed="false">
      <c r="A34" s="19" t="s">
        <v>1291</v>
      </c>
      <c r="B34" s="19"/>
      <c r="C34" s="19"/>
      <c r="D34" s="19"/>
      <c r="E34" s="19"/>
      <c r="F34" s="19"/>
      <c r="G34" s="19"/>
      <c r="H34" s="19"/>
      <c r="I34" s="19"/>
      <c r="J34" s="19"/>
    </row>
    <row r="35" customFormat="false" ht="84.75" hidden="false" customHeight="true" outlineLevel="0" collapsed="false">
      <c r="A35" s="19" t="s">
        <v>1292</v>
      </c>
      <c r="B35" s="19"/>
      <c r="C35" s="19"/>
      <c r="D35" s="19"/>
      <c r="E35" s="19"/>
      <c r="F35" s="19"/>
      <c r="G35" s="19"/>
      <c r="H35" s="19"/>
      <c r="I35" s="19"/>
      <c r="J35" s="19"/>
    </row>
    <row r="36" customFormat="false" ht="84.75" hidden="false" customHeight="true" outlineLevel="0" collapsed="false">
      <c r="A36" s="19" t="s">
        <v>1293</v>
      </c>
      <c r="B36" s="19"/>
      <c r="C36" s="19"/>
      <c r="D36" s="19"/>
      <c r="E36" s="19"/>
      <c r="F36" s="19"/>
      <c r="G36" s="19"/>
      <c r="H36" s="19"/>
      <c r="I36" s="19"/>
      <c r="J36" s="19"/>
    </row>
    <row r="37" customFormat="false" ht="99.75" hidden="false" customHeight="true" outlineLevel="0" collapsed="false">
      <c r="A37" s="19" t="s">
        <v>1294</v>
      </c>
      <c r="B37" s="19"/>
      <c r="C37" s="19"/>
      <c r="D37" s="19"/>
      <c r="E37" s="19"/>
      <c r="F37" s="19"/>
      <c r="G37" s="19"/>
      <c r="H37" s="19"/>
      <c r="I37" s="19"/>
      <c r="J37" s="19"/>
    </row>
    <row r="38" customFormat="false" ht="54.75" hidden="false" customHeight="true" outlineLevel="0" collapsed="false">
      <c r="A38" s="19" t="s">
        <v>1295</v>
      </c>
      <c r="B38" s="19"/>
      <c r="C38" s="19"/>
      <c r="D38" s="19"/>
      <c r="E38" s="19"/>
      <c r="F38" s="19"/>
      <c r="G38" s="19"/>
      <c r="H38" s="19"/>
      <c r="I38" s="19"/>
      <c r="J38" s="19"/>
    </row>
  </sheetData>
  <mergeCells count="12">
    <mergeCell ref="A26:J26"/>
    <mergeCell ref="A27:J27"/>
    <mergeCell ref="A28:J28"/>
    <mergeCell ref="A29:J29"/>
    <mergeCell ref="A31:J31"/>
    <mergeCell ref="A32:J32"/>
    <mergeCell ref="A33:J33"/>
    <mergeCell ref="A34:J34"/>
    <mergeCell ref="A35:J35"/>
    <mergeCell ref="A36:J36"/>
    <mergeCell ref="A37:J37"/>
    <mergeCell ref="A38:J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74"/>
    <col collapsed="false" customWidth="true" hidden="false" outlineLevel="0" max="3" min="3" style="1" width="10"/>
    <col collapsed="false" customWidth="true" hidden="false" outlineLevel="0" max="4" min="4" style="1" width="16"/>
  </cols>
  <sheetData>
    <row r="1" customFormat="false" ht="17.25" hidden="false" customHeight="true" outlineLevel="0" collapsed="false">
      <c r="A1" s="20" t="s">
        <v>1296</v>
      </c>
    </row>
    <row r="2" customFormat="false" ht="273" hidden="false" customHeight="true" outlineLevel="0" collapsed="false">
      <c r="A2" s="21" t="s">
        <v>1297</v>
      </c>
    </row>
    <row r="4" customFormat="false" ht="15" hidden="false" customHeight="true" outlineLevel="0" collapsed="false">
      <c r="A4" s="22" t="s">
        <v>1298</v>
      </c>
      <c r="B4" s="23" t="n">
        <f aca="false">COUNTIF(C11:C36,"&gt;0")</f>
        <v>24</v>
      </c>
    </row>
    <row r="5" customFormat="false" ht="15" hidden="false" customHeight="true" outlineLevel="0" collapsed="false">
      <c r="A5" s="22" t="s">
        <v>1299</v>
      </c>
      <c r="B5" s="23" t="n">
        <f aca="false">COUNTIF(C11:C36,0)</f>
        <v>1</v>
      </c>
    </row>
    <row r="6" customFormat="false" ht="15" hidden="false" customHeight="true" outlineLevel="0" collapsed="false">
      <c r="A6" s="22" t="s">
        <v>1300</v>
      </c>
      <c r="B6" s="23" t="n">
        <f aca="false">B4+B5</f>
        <v>25</v>
      </c>
    </row>
    <row r="7" customFormat="false" ht="15" hidden="false" customHeight="true" outlineLevel="0" collapsed="false">
      <c r="A7" s="22" t="s">
        <v>1301</v>
      </c>
      <c r="B7" s="23" t="n">
        <f aca="false">COUNTIF(C40:C58,"&gt;0")</f>
        <v>13</v>
      </c>
    </row>
    <row r="8" customFormat="false" ht="15" hidden="false" customHeight="true" outlineLevel="0" collapsed="false">
      <c r="A8" s="22" t="s">
        <v>1302</v>
      </c>
      <c r="B8" s="23" t="n">
        <f aca="false">COUNTIF(C40:C58,0)</f>
        <v>3</v>
      </c>
    </row>
    <row r="10" customFormat="false" ht="15" hidden="false" customHeight="true" outlineLevel="0" collapsed="false">
      <c r="A10" s="24" t="s">
        <v>1303</v>
      </c>
    </row>
    <row r="11" customFormat="false" ht="15" hidden="false" customHeight="true" outlineLevel="0" collapsed="false">
      <c r="A11" s="25" t="s">
        <v>1304</v>
      </c>
      <c r="B11" s="12" t="s">
        <v>1305</v>
      </c>
      <c r="C11" s="25" t="s">
        <v>1306</v>
      </c>
      <c r="D11" s="25" t="s">
        <v>1307</v>
      </c>
    </row>
    <row r="12" customFormat="false" ht="15" hidden="false" customHeight="true" outlineLevel="0" collapsed="false">
      <c r="A12" s="26" t="s">
        <v>17</v>
      </c>
      <c r="B12" s="6" t="s">
        <v>1308</v>
      </c>
      <c r="C12" s="26" t="n">
        <f aca="false">SUMPRODUCT(--ISNUMBER(SEARCH(" "&amp;$A12&amp;",", " "&amp;'Test Scenarios'!$C$2:$C$181&amp;","))) + SUMPRODUCT(--ISNUMBER(SEARCH(" "&amp;$A12&amp;",", " "&amp;'Test Scenarios'!$D$2:$D$181&amp;",")))</f>
        <v>15</v>
      </c>
      <c r="D12" s="26" t="str">
        <f aca="false">IF(C12=0,"Chưa có test","Có test")</f>
        <v>Có test</v>
      </c>
    </row>
    <row r="13" customFormat="false" ht="23.25" hidden="false" customHeight="true" outlineLevel="0" collapsed="false">
      <c r="A13" s="26" t="s">
        <v>173</v>
      </c>
      <c r="B13" s="6" t="s">
        <v>1309</v>
      </c>
      <c r="C13" s="26" t="n">
        <f aca="false">SUMPRODUCT(--ISNUMBER(SEARCH(" "&amp;$A13&amp;",", " "&amp;'Test Scenarios'!$C$2:$C$181&amp;","))) + SUMPRODUCT(--ISNUMBER(SEARCH(" "&amp;$A13&amp;",", " "&amp;'Test Scenarios'!$D$2:$D$181&amp;",")))</f>
        <v>10</v>
      </c>
      <c r="D13" s="26" t="str">
        <f aca="false">IF(C13=0,"Chưa có test","Có test")</f>
        <v>Có test</v>
      </c>
    </row>
    <row r="14" customFormat="false" ht="15" hidden="false" customHeight="true" outlineLevel="0" collapsed="false">
      <c r="A14" s="26" t="s">
        <v>311</v>
      </c>
      <c r="B14" s="6" t="s">
        <v>1310</v>
      </c>
      <c r="C14" s="26" t="n">
        <f aca="false">SUMPRODUCT(--ISNUMBER(SEARCH(" "&amp;$A14&amp;",", " "&amp;'Test Scenarios'!$C$2:$C$181&amp;","))) + SUMPRODUCT(--ISNUMBER(SEARCH(" "&amp;$A14&amp;",", " "&amp;'Test Scenarios'!$D$2:$D$181&amp;",")))</f>
        <v>7</v>
      </c>
      <c r="D14" s="26" t="str">
        <f aca="false">IF(C14=0,"Chưa có test","Có test")</f>
        <v>Có test</v>
      </c>
    </row>
    <row r="15" customFormat="false" ht="15" hidden="false" customHeight="true" outlineLevel="0" collapsed="false">
      <c r="A15" s="26" t="s">
        <v>326</v>
      </c>
      <c r="B15" s="6" t="s">
        <v>1311</v>
      </c>
      <c r="C15" s="26" t="n">
        <f aca="false">SUMPRODUCT(--ISNUMBER(SEARCH(" "&amp;$A15&amp;",", " "&amp;'Test Scenarios'!$C$2:$C$181&amp;","))) + SUMPRODUCT(--ISNUMBER(SEARCH(" "&amp;$A15&amp;",", " "&amp;'Test Scenarios'!$D$2:$D$181&amp;",")))</f>
        <v>1</v>
      </c>
      <c r="D15" s="26" t="str">
        <f aca="false">IF(C15=0,"Chưa có test","Có test")</f>
        <v>Có test</v>
      </c>
    </row>
    <row r="16" customFormat="false" ht="15" hidden="false" customHeight="true" outlineLevel="0" collapsed="false">
      <c r="A16" s="26" t="s">
        <v>360</v>
      </c>
      <c r="B16" s="6" t="s">
        <v>1312</v>
      </c>
      <c r="C16" s="26" t="n">
        <f aca="false">SUMPRODUCT(--ISNUMBER(SEARCH(" "&amp;$A16&amp;",", " "&amp;'Test Scenarios'!$C$2:$C$181&amp;","))) + SUMPRODUCT(--ISNUMBER(SEARCH(" "&amp;$A16&amp;",", " "&amp;'Test Scenarios'!$D$2:$D$181&amp;",")))</f>
        <v>8</v>
      </c>
      <c r="D16" s="26" t="str">
        <f aca="false">IF(C16=0,"Chưa có test","Có test")</f>
        <v>Có test</v>
      </c>
    </row>
    <row r="17" customFormat="false" ht="15" hidden="false" customHeight="true" outlineLevel="0" collapsed="false">
      <c r="A17" s="26" t="s">
        <v>212</v>
      </c>
      <c r="B17" s="6" t="s">
        <v>1313</v>
      </c>
      <c r="C17" s="26" t="n">
        <f aca="false">SUMPRODUCT(--ISNUMBER(SEARCH(" "&amp;$A17&amp;",", " "&amp;'Test Scenarios'!$C$2:$C$181&amp;","))) + SUMPRODUCT(--ISNUMBER(SEARCH(" "&amp;$A17&amp;",", " "&amp;'Test Scenarios'!$D$2:$D$181&amp;",")))</f>
        <v>15</v>
      </c>
      <c r="D17" s="26" t="str">
        <f aca="false">IF(C17=0,"Chưa có test","Có test")</f>
        <v>Có test</v>
      </c>
    </row>
    <row r="18" customFormat="false" ht="15" hidden="false" customHeight="true" outlineLevel="0" collapsed="false">
      <c r="A18" s="26" t="s">
        <v>651</v>
      </c>
      <c r="B18" s="6" t="s">
        <v>1314</v>
      </c>
      <c r="C18" s="26" t="n">
        <f aca="false">SUMPRODUCT(--ISNUMBER(SEARCH(" "&amp;$A18&amp;",", " "&amp;'Test Scenarios'!$C$2:$C$181&amp;","))) + SUMPRODUCT(--ISNUMBER(SEARCH(" "&amp;$A18&amp;",", " "&amp;'Test Scenarios'!$D$2:$D$181&amp;",")))</f>
        <v>4</v>
      </c>
      <c r="D18" s="26" t="str">
        <f aca="false">IF(C18=0,"Chưa có test","Có test")</f>
        <v>Có test</v>
      </c>
    </row>
    <row r="19" customFormat="false" ht="15" hidden="false" customHeight="true" outlineLevel="0" collapsed="false">
      <c r="A19" s="26" t="s">
        <v>485</v>
      </c>
      <c r="B19" s="6" t="s">
        <v>1315</v>
      </c>
      <c r="C19" s="26" t="n">
        <f aca="false">SUMPRODUCT(--ISNUMBER(SEARCH(" "&amp;$A19&amp;",", " "&amp;'Test Scenarios'!$C$2:$C$181&amp;","))) + SUMPRODUCT(--ISNUMBER(SEARCH(" "&amp;$A19&amp;",", " "&amp;'Test Scenarios'!$D$2:$D$181&amp;",")))</f>
        <v>7</v>
      </c>
      <c r="D19" s="26" t="str">
        <f aca="false">IF(C19=0,"Chưa có test","Có test")</f>
        <v>Có test</v>
      </c>
    </row>
    <row r="20" customFormat="false" ht="15" hidden="false" customHeight="true" outlineLevel="0" collapsed="false">
      <c r="A20" s="26" t="s">
        <v>478</v>
      </c>
      <c r="B20" s="6" t="s">
        <v>1316</v>
      </c>
      <c r="C20" s="26" t="n">
        <f aca="false">SUMPRODUCT(--ISNUMBER(SEARCH(" "&amp;$A20&amp;",", " "&amp;'Test Scenarios'!$C$2:$C$181&amp;","))) + SUMPRODUCT(--ISNUMBER(SEARCH(" "&amp;$A20&amp;",", " "&amp;'Test Scenarios'!$D$2:$D$181&amp;",")))</f>
        <v>2</v>
      </c>
      <c r="D20" s="26" t="str">
        <f aca="false">IF(C20=0,"Chưa có test","Có test")</f>
        <v>Có test</v>
      </c>
    </row>
    <row r="21" customFormat="false" ht="15" hidden="false" customHeight="true" outlineLevel="0" collapsed="false">
      <c r="A21" s="26" t="s">
        <v>629</v>
      </c>
      <c r="B21" s="6" t="s">
        <v>1317</v>
      </c>
      <c r="C21" s="26" t="n">
        <f aca="false">SUMPRODUCT(--ISNUMBER(SEARCH(" "&amp;$A21&amp;",", " "&amp;'Test Scenarios'!$C$2:$C$181&amp;","))) + SUMPRODUCT(--ISNUMBER(SEARCH(" "&amp;$A21&amp;",", " "&amp;'Test Scenarios'!$D$2:$D$181&amp;",")))</f>
        <v>11</v>
      </c>
      <c r="D21" s="26" t="str">
        <f aca="false">IF(C21=0,"Chưa có test","Có test")</f>
        <v>Có test</v>
      </c>
    </row>
    <row r="22" customFormat="false" ht="15" hidden="false" customHeight="true" outlineLevel="0" collapsed="false">
      <c r="A22" s="26" t="s">
        <v>195</v>
      </c>
      <c r="B22" s="6" t="s">
        <v>1318</v>
      </c>
      <c r="C22" s="26" t="n">
        <f aca="false">SUMPRODUCT(--ISNUMBER(SEARCH(" "&amp;$A22&amp;",", " "&amp;'Test Scenarios'!$C$2:$C$181&amp;","))) + SUMPRODUCT(--ISNUMBER(SEARCH(" "&amp;$A22&amp;",", " "&amp;'Test Scenarios'!$D$2:$D$181&amp;",")))</f>
        <v>4</v>
      </c>
      <c r="D22" s="26" t="str">
        <f aca="false">IF(C22=0,"Chưa có test","Có test")</f>
        <v>Có test</v>
      </c>
    </row>
    <row r="23" customFormat="false" ht="15" hidden="false" customHeight="true" outlineLevel="0" collapsed="false">
      <c r="A23" s="26" t="s">
        <v>500</v>
      </c>
      <c r="B23" s="6" t="s">
        <v>1319</v>
      </c>
      <c r="C23" s="26" t="n">
        <f aca="false">SUMPRODUCT(--ISNUMBER(SEARCH(" "&amp;$A23&amp;",", " "&amp;'Test Scenarios'!$C$2:$C$181&amp;","))) + SUMPRODUCT(--ISNUMBER(SEARCH(" "&amp;$A23&amp;",", " "&amp;'Test Scenarios'!$D$2:$D$181&amp;",")))</f>
        <v>6</v>
      </c>
      <c r="D23" s="26" t="str">
        <f aca="false">IF(C23=0,"Chưa có test","Có test")</f>
        <v>Có test</v>
      </c>
    </row>
    <row r="24" customFormat="false" ht="15" hidden="false" customHeight="true" outlineLevel="0" collapsed="false">
      <c r="A24" s="26" t="s">
        <v>332</v>
      </c>
      <c r="B24" s="6" t="s">
        <v>1320</v>
      </c>
      <c r="C24" s="26" t="n">
        <f aca="false">SUMPRODUCT(--ISNUMBER(SEARCH(" "&amp;$A24&amp;",", " "&amp;'Test Scenarios'!$C$2:$C$181&amp;","))) + SUMPRODUCT(--ISNUMBER(SEARCH(" "&amp;$A24&amp;",", " "&amp;'Test Scenarios'!$D$2:$D$181&amp;",")))</f>
        <v>5</v>
      </c>
      <c r="D24" s="26" t="str">
        <f aca="false">IF(C24=0,"Chưa có test","Có test")</f>
        <v>Có test</v>
      </c>
    </row>
    <row r="25" customFormat="false" ht="23.25" hidden="false" customHeight="true" outlineLevel="0" collapsed="false">
      <c r="A25" s="26" t="s">
        <v>753</v>
      </c>
      <c r="B25" s="6" t="s">
        <v>1321</v>
      </c>
      <c r="C25" s="26" t="n">
        <f aca="false">SUMPRODUCT(--ISNUMBER(SEARCH(" "&amp;$A25&amp;",", " "&amp;'Test Scenarios'!$C$2:$C$181&amp;","))) + SUMPRODUCT(--ISNUMBER(SEARCH(" "&amp;$A25&amp;",", " "&amp;'Test Scenarios'!$D$2:$D$181&amp;",")))</f>
        <v>22</v>
      </c>
      <c r="D25" s="26" t="str">
        <f aca="false">IF(C25=0,"Chưa có test","Có test")</f>
        <v>Có test</v>
      </c>
    </row>
    <row r="26" customFormat="false" ht="23.25" hidden="false" customHeight="true" outlineLevel="0" collapsed="false">
      <c r="A26" s="26" t="s">
        <v>1322</v>
      </c>
      <c r="B26" s="6" t="s">
        <v>1323</v>
      </c>
      <c r="C26" s="26" t="n">
        <f aca="false">SUMPRODUCT(--ISNUMBER(SEARCH(" "&amp;$A26&amp;",", " "&amp;'Test Scenarios'!$C$2:$C$181&amp;","))) + SUMPRODUCT(--ISNUMBER(SEARCH(" "&amp;$A26&amp;",", " "&amp;'Test Scenarios'!$D$2:$D$181&amp;",")))</f>
        <v>0</v>
      </c>
      <c r="D26" s="26" t="str">
        <f aca="false">IF(C26=0,"Chưa có test","Có test")</f>
        <v>Chưa có test</v>
      </c>
    </row>
    <row r="27" customFormat="false" ht="15" hidden="false" customHeight="true" outlineLevel="0" collapsed="false">
      <c r="A27" s="26" t="s">
        <v>857</v>
      </c>
      <c r="B27" s="6" t="s">
        <v>1324</v>
      </c>
      <c r="C27" s="26" t="n">
        <f aca="false">SUMPRODUCT(--ISNUMBER(SEARCH(" "&amp;$A27&amp;",", " "&amp;'Test Scenarios'!$C$2:$C$181&amp;","))) + SUMPRODUCT(--ISNUMBER(SEARCH(" "&amp;$A27&amp;",", " "&amp;'Test Scenarios'!$D$2:$D$181&amp;",")))</f>
        <v>15</v>
      </c>
      <c r="D27" s="26" t="str">
        <f aca="false">IF(C27=0,"Chưa có test","Có test")</f>
        <v>Có test</v>
      </c>
    </row>
    <row r="28" customFormat="false" ht="15" hidden="false" customHeight="true" outlineLevel="0" collapsed="false">
      <c r="A28" s="26" t="s">
        <v>871</v>
      </c>
      <c r="B28" s="6" t="s">
        <v>1325</v>
      </c>
      <c r="C28" s="26" t="n">
        <f aca="false">SUMPRODUCT(--ISNUMBER(SEARCH(" "&amp;$A28&amp;",", " "&amp;'Test Scenarios'!$C$2:$C$181&amp;","))) + SUMPRODUCT(--ISNUMBER(SEARCH(" "&amp;$A28&amp;",", " "&amp;'Test Scenarios'!$D$2:$D$181&amp;",")))</f>
        <v>3</v>
      </c>
      <c r="D28" s="26" t="str">
        <f aca="false">IF(C28=0,"Chưa có test","Có test")</f>
        <v>Có test</v>
      </c>
    </row>
    <row r="29" customFormat="false" ht="23.25" hidden="false" customHeight="true" outlineLevel="0" collapsed="false">
      <c r="A29" s="26" t="s">
        <v>993</v>
      </c>
      <c r="B29" s="6" t="s">
        <v>1326</v>
      </c>
      <c r="C29" s="26" t="n">
        <f aca="false">SUMPRODUCT(--ISNUMBER(SEARCH(" "&amp;$A29&amp;",", " "&amp;'Test Scenarios'!$C$2:$C$181&amp;","))) + SUMPRODUCT(--ISNUMBER(SEARCH(" "&amp;$A29&amp;",", " "&amp;'Test Scenarios'!$D$2:$D$181&amp;",")))</f>
        <v>14</v>
      </c>
      <c r="D29" s="26" t="str">
        <f aca="false">IF(C29=0,"Chưa có test","Có test")</f>
        <v>Có test</v>
      </c>
    </row>
    <row r="30" customFormat="false" ht="15" hidden="false" customHeight="true" outlineLevel="0" collapsed="false">
      <c r="A30" s="26" t="s">
        <v>1111</v>
      </c>
      <c r="B30" s="6" t="s">
        <v>1327</v>
      </c>
      <c r="C30" s="26" t="n">
        <f aca="false">SUMPRODUCT(--ISNUMBER(SEARCH(" "&amp;$A30&amp;",", " "&amp;'Test Scenarios'!$C$2:$C$181&amp;","))) + SUMPRODUCT(--ISNUMBER(SEARCH(" "&amp;$A30&amp;",", " "&amp;'Test Scenarios'!$D$2:$D$181&amp;",")))</f>
        <v>2</v>
      </c>
      <c r="D30" s="26" t="str">
        <f aca="false">IF(C30=0,"Chưa có test","Có test")</f>
        <v>Có test</v>
      </c>
    </row>
    <row r="31" customFormat="false" ht="15" hidden="false" customHeight="true" outlineLevel="0" collapsed="false">
      <c r="A31" s="26" t="s">
        <v>1013</v>
      </c>
      <c r="B31" s="6" t="s">
        <v>1328</v>
      </c>
      <c r="C31" s="26" t="n">
        <f aca="false">SUMPRODUCT(--ISNUMBER(SEARCH(" "&amp;$A31&amp;",", " "&amp;'Test Scenarios'!$C$2:$C$181&amp;","))) + SUMPRODUCT(--ISNUMBER(SEARCH(" "&amp;$A31&amp;",", " "&amp;'Test Scenarios'!$D$2:$D$181&amp;",")))</f>
        <v>5</v>
      </c>
      <c r="D31" s="26" t="str">
        <f aca="false">IF(C31=0,"Chưa có test","Có test")</f>
        <v>Có test</v>
      </c>
    </row>
    <row r="32" customFormat="false" ht="15" hidden="false" customHeight="true" outlineLevel="0" collapsed="false">
      <c r="A32" s="26" t="s">
        <v>77</v>
      </c>
      <c r="B32" s="6" t="s">
        <v>1329</v>
      </c>
      <c r="C32" s="26" t="n">
        <f aca="false">SUMPRODUCT(--ISNUMBER(SEARCH(" "&amp;$A32&amp;",", " "&amp;'Test Scenarios'!$C$2:$C$181&amp;","))) + SUMPRODUCT(--ISNUMBER(SEARCH(" "&amp;$A32&amp;",", " "&amp;'Test Scenarios'!$D$2:$D$181&amp;",")))</f>
        <v>7</v>
      </c>
      <c r="D32" s="26" t="str">
        <f aca="false">IF(C32=0,"Chưa có test","Có test")</f>
        <v>Có test</v>
      </c>
    </row>
    <row r="33" customFormat="false" ht="15" hidden="false" customHeight="true" outlineLevel="0" collapsed="false">
      <c r="A33" s="26" t="s">
        <v>1121</v>
      </c>
      <c r="B33" s="6" t="s">
        <v>1330</v>
      </c>
      <c r="C33" s="26" t="n">
        <f aca="false">SUMPRODUCT(--ISNUMBER(SEARCH(" "&amp;$A33&amp;",", " "&amp;'Test Scenarios'!$C$2:$C$181&amp;","))) + SUMPRODUCT(--ISNUMBER(SEARCH(" "&amp;$A33&amp;",", " "&amp;'Test Scenarios'!$D$2:$D$181&amp;",")))</f>
        <v>4</v>
      </c>
      <c r="D33" s="26" t="str">
        <f aca="false">IF(C33=0,"Chưa có test","Có test")</f>
        <v>Có test</v>
      </c>
    </row>
    <row r="34" customFormat="false" ht="15" hidden="false" customHeight="true" outlineLevel="0" collapsed="false">
      <c r="A34" s="26" t="s">
        <v>58</v>
      </c>
      <c r="B34" s="6" t="s">
        <v>1331</v>
      </c>
      <c r="C34" s="26" t="n">
        <f aca="false">SUMPRODUCT(--ISNUMBER(SEARCH(" "&amp;$A34&amp;",", " "&amp;'Test Scenarios'!$C$2:$C$181&amp;","))) + SUMPRODUCT(--ISNUMBER(SEARCH(" "&amp;$A34&amp;",", " "&amp;'Test Scenarios'!$D$2:$D$181&amp;",")))</f>
        <v>9</v>
      </c>
      <c r="D34" s="26" t="str">
        <f aca="false">IF(C34=0,"Chưa có test","Có test")</f>
        <v>Có test</v>
      </c>
    </row>
    <row r="35" customFormat="false" ht="15" hidden="false" customHeight="true" outlineLevel="0" collapsed="false">
      <c r="A35" s="26" t="s">
        <v>1138</v>
      </c>
      <c r="B35" s="6" t="s">
        <v>1332</v>
      </c>
      <c r="C35" s="26" t="n">
        <f aca="false">SUMPRODUCT(--ISNUMBER(SEARCH(" "&amp;$A35&amp;",", " "&amp;'Test Scenarios'!$C$2:$C$181&amp;","))) + SUMPRODUCT(--ISNUMBER(SEARCH(" "&amp;$A35&amp;",", " "&amp;'Test Scenarios'!$D$2:$D$181&amp;",")))</f>
        <v>7</v>
      </c>
      <c r="D35" s="26" t="str">
        <f aca="false">IF(C35=0,"Chưa có test","Có test")</f>
        <v>Có test</v>
      </c>
    </row>
    <row r="36" customFormat="false" ht="15" hidden="false" customHeight="true" outlineLevel="0" collapsed="false">
      <c r="A36" s="26" t="s">
        <v>353</v>
      </c>
      <c r="B36" s="6" t="s">
        <v>1333</v>
      </c>
      <c r="C36" s="26" t="n">
        <f aca="false">SUMPRODUCT(--ISNUMBER(SEARCH(" "&amp;$A36&amp;",", " "&amp;'Test Scenarios'!$C$2:$C$181&amp;","))) + SUMPRODUCT(--ISNUMBER(SEARCH(" "&amp;$A36&amp;",", " "&amp;'Test Scenarios'!$D$2:$D$181&amp;",")))</f>
        <v>3</v>
      </c>
      <c r="D36" s="26" t="str">
        <f aca="false">IF(C36=0,"Chưa có test","Có test")</f>
        <v>Có test</v>
      </c>
    </row>
    <row r="38" customFormat="false" ht="15" hidden="false" customHeight="true" outlineLevel="0" collapsed="false">
      <c r="A38" s="26" t="s">
        <v>1334</v>
      </c>
      <c r="B38" s="6"/>
      <c r="C38" s="26"/>
      <c r="D38" s="26"/>
    </row>
    <row r="39" customFormat="false" ht="15" hidden="false" customHeight="true" outlineLevel="0" collapsed="false">
      <c r="A39" s="25" t="s">
        <v>1335</v>
      </c>
      <c r="B39" s="12" t="s">
        <v>1305</v>
      </c>
      <c r="C39" s="25" t="s">
        <v>1306</v>
      </c>
      <c r="D39" s="25" t="s">
        <v>1307</v>
      </c>
    </row>
    <row r="40" customFormat="false" ht="15" hidden="false" customHeight="true" outlineLevel="0" collapsed="false">
      <c r="A40" s="26" t="s">
        <v>239</v>
      </c>
      <c r="B40" s="6" t="s">
        <v>1336</v>
      </c>
      <c r="C40" s="26" t="n">
        <f aca="false">SUMPRODUCT(--ISNUMBER(SEARCH(" "&amp;$A40&amp;",", " "&amp;'Test Scenarios'!$C$2:$C$181&amp;","))) + SUMPRODUCT(--ISNUMBER(SEARCH(" "&amp;$A40&amp;",", " "&amp;'Test Scenarios'!$D$2:$D$181&amp;",")))</f>
        <v>3</v>
      </c>
      <c r="D40" s="26" t="str">
        <f aca="false">IF(C40=0,"Chưa có test","Có test")</f>
        <v>Có test</v>
      </c>
    </row>
    <row r="41" customFormat="false" ht="15" hidden="false" customHeight="true" outlineLevel="0" collapsed="false">
      <c r="A41" s="26" t="s">
        <v>471</v>
      </c>
      <c r="B41" s="6" t="s">
        <v>1337</v>
      </c>
      <c r="C41" s="26" t="n">
        <f aca="false">SUMPRODUCT(--ISNUMBER(SEARCH(" "&amp;$A41&amp;",", " "&amp;'Test Scenarios'!$C$2:$C$181&amp;","))) + SUMPRODUCT(--ISNUMBER(SEARCH(" "&amp;$A41&amp;",", " "&amp;'Test Scenarios'!$D$2:$D$181&amp;",")))</f>
        <v>3</v>
      </c>
      <c r="D41" s="26" t="str">
        <f aca="false">IF(C41=0,"Chưa có test","Có test")</f>
        <v>Có test</v>
      </c>
    </row>
    <row r="42" customFormat="false" ht="15" hidden="false" customHeight="true" outlineLevel="0" collapsed="false">
      <c r="A42" s="26" t="s">
        <v>486</v>
      </c>
      <c r="B42" s="6" t="s">
        <v>1338</v>
      </c>
      <c r="C42" s="26" t="n">
        <f aca="false">SUMPRODUCT(--ISNUMBER(SEARCH(" "&amp;$A42&amp;",", " "&amp;'Test Scenarios'!$C$2:$C$181&amp;","))) + SUMPRODUCT(--ISNUMBER(SEARCH(" "&amp;$A42&amp;",", " "&amp;'Test Scenarios'!$D$2:$D$181&amp;",")))</f>
        <v>3</v>
      </c>
      <c r="D42" s="26" t="str">
        <f aca="false">IF(C42=0,"Chưa có test","Có test")</f>
        <v>Có test</v>
      </c>
    </row>
    <row r="43" customFormat="false" ht="15" hidden="false" customHeight="true" outlineLevel="0" collapsed="false">
      <c r="A43" s="26" t="s">
        <v>1339</v>
      </c>
      <c r="B43" s="6" t="s">
        <v>1340</v>
      </c>
      <c r="C43" s="26" t="n">
        <f aca="false">SUMPRODUCT(--ISNUMBER(SEARCH(" "&amp;$A43&amp;",", " "&amp;'Test Scenarios'!$C$2:$C$181&amp;","))) + SUMPRODUCT(--ISNUMBER(SEARCH(" "&amp;$A43&amp;",", " "&amp;'Test Scenarios'!$D$2:$D$181&amp;",")))</f>
        <v>1</v>
      </c>
      <c r="D43" s="26" t="str">
        <f aca="false">IF(C43=0,"Chưa có test","Có test")</f>
        <v>Có test</v>
      </c>
    </row>
    <row r="44" customFormat="false" ht="15" hidden="false" customHeight="true" outlineLevel="0" collapsed="false">
      <c r="A44" s="26" t="s">
        <v>345</v>
      </c>
      <c r="B44" s="6" t="s">
        <v>1341</v>
      </c>
      <c r="C44" s="26" t="n">
        <f aca="false">SUMPRODUCT(--ISNUMBER(SEARCH(" "&amp;$A44&amp;",", " "&amp;'Test Scenarios'!$C$2:$C$181&amp;","))) + SUMPRODUCT(--ISNUMBER(SEARCH(" "&amp;$A44&amp;",", " "&amp;'Test Scenarios'!$D$2:$D$181&amp;",")))</f>
        <v>2</v>
      </c>
      <c r="D44" s="26" t="str">
        <f aca="false">IF(C44=0,"Chưa có test","Có test")</f>
        <v>Có test</v>
      </c>
    </row>
    <row r="45" customFormat="false" ht="15" hidden="false" customHeight="true" outlineLevel="0" collapsed="false">
      <c r="A45" s="26" t="s">
        <v>928</v>
      </c>
      <c r="B45" s="6" t="s">
        <v>1342</v>
      </c>
      <c r="C45" s="26" t="n">
        <f aca="false">SUMPRODUCT(--ISNUMBER(SEARCH(" "&amp;$A45&amp;",", " "&amp;'Test Scenarios'!$C$2:$C$181&amp;","))) + SUMPRODUCT(--ISNUMBER(SEARCH(" "&amp;$A45&amp;",", " "&amp;'Test Scenarios'!$D$2:$D$181&amp;",")))</f>
        <v>1</v>
      </c>
      <c r="D45" s="26" t="str">
        <f aca="false">IF(C45=0,"Chưa có test","Có test")</f>
        <v>Có test</v>
      </c>
    </row>
    <row r="46" customFormat="false" ht="15" hidden="false" customHeight="true" outlineLevel="0" collapsed="false">
      <c r="A46" s="26" t="s">
        <v>905</v>
      </c>
      <c r="B46" s="6" t="s">
        <v>1343</v>
      </c>
      <c r="C46" s="26" t="n">
        <f aca="false">SUMPRODUCT(--ISNUMBER(SEARCH(" "&amp;$A46&amp;",", " "&amp;'Test Scenarios'!$C$2:$C$181&amp;","))) + SUMPRODUCT(--ISNUMBER(SEARCH(" "&amp;$A46&amp;",", " "&amp;'Test Scenarios'!$D$2:$D$181&amp;",")))</f>
        <v>1</v>
      </c>
      <c r="D46" s="26" t="str">
        <f aca="false">IF(C46=0,"Chưa có test","Có test")</f>
        <v>Có test</v>
      </c>
    </row>
    <row r="47" customFormat="false" ht="15" hidden="false" customHeight="true" outlineLevel="0" collapsed="false">
      <c r="A47" s="26" t="s">
        <v>220</v>
      </c>
      <c r="B47" s="6" t="s">
        <v>1344</v>
      </c>
      <c r="C47" s="26" t="n">
        <f aca="false">SUMPRODUCT(--ISNUMBER(SEARCH(" "&amp;$A47&amp;",", " "&amp;'Test Scenarios'!$C$2:$C$181&amp;","))) + SUMPRODUCT(--ISNUMBER(SEARCH(" "&amp;$A47&amp;",", " "&amp;'Test Scenarios'!$D$2:$D$181&amp;",")))</f>
        <v>11</v>
      </c>
      <c r="D47" s="26" t="str">
        <f aca="false">IF(C47=0,"Chưa có test","Có test")</f>
        <v>Có test</v>
      </c>
    </row>
    <row r="48" customFormat="false" ht="15" hidden="false" customHeight="true" outlineLevel="0" collapsed="false">
      <c r="A48" s="26" t="s">
        <v>1224</v>
      </c>
      <c r="B48" s="6" t="s">
        <v>1345</v>
      </c>
      <c r="C48" s="26" t="n">
        <f aca="false">SUMPRODUCT(--ISNUMBER(SEARCH(" "&amp;$A48&amp;",", " "&amp;'Test Scenarios'!$C$2:$C$181&amp;","))) + SUMPRODUCT(--ISNUMBER(SEARCH(" "&amp;$A48&amp;",", " "&amp;'Test Scenarios'!$D$2:$D$181&amp;",")))</f>
        <v>0</v>
      </c>
      <c r="D48" s="26" t="str">
        <f aca="false">IF(C48=0,"Chưa có test","Có test")</f>
        <v>Chưa có test</v>
      </c>
    </row>
    <row r="49" customFormat="false" ht="15" hidden="false" customHeight="true" outlineLevel="0" collapsed="false">
      <c r="A49" s="26" t="s">
        <v>1346</v>
      </c>
      <c r="B49" s="6" t="s">
        <v>1347</v>
      </c>
      <c r="C49" s="26" t="n">
        <f aca="false">SUMPRODUCT(--ISNUMBER(SEARCH(" "&amp;$A49&amp;",", " "&amp;'Test Scenarios'!$C$2:$C$181&amp;","))) + SUMPRODUCT(--ISNUMBER(SEARCH(" "&amp;$A49&amp;",", " "&amp;'Test Scenarios'!$D$2:$D$181&amp;",")))</f>
        <v>0</v>
      </c>
      <c r="D49" s="26" t="str">
        <f aca="false">IF(C49=0,"Chưa có test","Có test")</f>
        <v>Chưa có test</v>
      </c>
    </row>
    <row r="51" customFormat="false" ht="15" hidden="false" customHeight="true" outlineLevel="0" collapsed="false">
      <c r="A51" s="26" t="s">
        <v>1348</v>
      </c>
      <c r="B51" s="6"/>
      <c r="C51" s="26"/>
      <c r="D51" s="26"/>
    </row>
    <row r="52" customFormat="false" ht="15" hidden="false" customHeight="true" outlineLevel="0" collapsed="false">
      <c r="A52" s="25" t="s">
        <v>1349</v>
      </c>
      <c r="B52" s="12" t="s">
        <v>1305</v>
      </c>
      <c r="C52" s="25" t="s">
        <v>1306</v>
      </c>
      <c r="D52" s="25" t="s">
        <v>1307</v>
      </c>
    </row>
    <row r="53" customFormat="false" ht="23.25" hidden="false" customHeight="true" outlineLevel="0" collapsed="false">
      <c r="A53" s="26" t="s">
        <v>606</v>
      </c>
      <c r="B53" s="6" t="s">
        <v>1350</v>
      </c>
      <c r="C53" s="26" t="n">
        <f aca="false">SUMPRODUCT(--ISNUMBER(SEARCH(" "&amp;$A53&amp;",", " "&amp;'Test Scenarios'!$C$2:$C$181&amp;","))) + SUMPRODUCT(--ISNUMBER(SEARCH(" "&amp;$A53&amp;",", " "&amp;'Test Scenarios'!$D$2:$D$181&amp;",")))</f>
        <v>2</v>
      </c>
      <c r="D53" s="26" t="str">
        <f aca="false">IF(C53=0,"Chưa có test","Có test")</f>
        <v>Có test</v>
      </c>
    </row>
    <row r="54" customFormat="false" ht="15" hidden="false" customHeight="true" outlineLevel="0" collapsed="false">
      <c r="A54" s="26" t="s">
        <v>1256</v>
      </c>
      <c r="B54" s="6" t="s">
        <v>1351</v>
      </c>
      <c r="C54" s="26" t="n">
        <f aca="false">SUMPRODUCT(--ISNUMBER(SEARCH(" "&amp;$A54&amp;",", " "&amp;'Test Scenarios'!$C$2:$C$181&amp;","))) + SUMPRODUCT(--ISNUMBER(SEARCH(" "&amp;$A54&amp;",", " "&amp;'Test Scenarios'!$D$2:$D$181&amp;",")))</f>
        <v>0</v>
      </c>
      <c r="D54" s="26" t="str">
        <f aca="false">IF(C54=0,"Chưa có test","Có test")</f>
        <v>Chưa có test</v>
      </c>
    </row>
    <row r="55" customFormat="false" ht="15" hidden="false" customHeight="true" outlineLevel="0" collapsed="false">
      <c r="A55" s="26" t="s">
        <v>595</v>
      </c>
      <c r="B55" s="6" t="s">
        <v>1352</v>
      </c>
      <c r="C55" s="26" t="n">
        <f aca="false">SUMPRODUCT(--ISNUMBER(SEARCH(" "&amp;$A55&amp;",", " "&amp;'Test Scenarios'!$C$2:$C$181&amp;","))) + SUMPRODUCT(--ISNUMBER(SEARCH(" "&amp;$A55&amp;",", " "&amp;'Test Scenarios'!$D$2:$D$181&amp;",")))</f>
        <v>1</v>
      </c>
      <c r="D55" s="26" t="str">
        <f aca="false">IF(C55=0,"Chưa có test","Có test")</f>
        <v>Có test</v>
      </c>
    </row>
    <row r="56" customFormat="false" ht="15" hidden="false" customHeight="true" outlineLevel="0" collapsed="false">
      <c r="A56" s="26" t="s">
        <v>51</v>
      </c>
      <c r="B56" s="6" t="s">
        <v>1353</v>
      </c>
      <c r="C56" s="26" t="n">
        <f aca="false">SUMPRODUCT(--ISNUMBER(SEARCH(" "&amp;$A56&amp;",", " "&amp;'Test Scenarios'!$C$2:$C$181&amp;","))) + SUMPRODUCT(--ISNUMBER(SEARCH(" "&amp;$A56&amp;",", " "&amp;'Test Scenarios'!$D$2:$D$181&amp;",")))</f>
        <v>31</v>
      </c>
      <c r="D56" s="26" t="str">
        <f aca="false">IF(C56=0,"Chưa có test","Có test")</f>
        <v>Có test</v>
      </c>
    </row>
    <row r="57" customFormat="false" ht="15" hidden="false" customHeight="true" outlineLevel="0" collapsed="false">
      <c r="A57" s="26" t="s">
        <v>105</v>
      </c>
      <c r="B57" s="6" t="s">
        <v>1354</v>
      </c>
      <c r="C57" s="26" t="n">
        <f aca="false">SUMPRODUCT(--ISNUMBER(SEARCH(" "&amp;$A57&amp;",", " "&amp;'Test Scenarios'!$C$2:$C$181&amp;","))) + SUMPRODUCT(--ISNUMBER(SEARCH(" "&amp;$A57&amp;",", " "&amp;'Test Scenarios'!$D$2:$D$181&amp;",")))</f>
        <v>21</v>
      </c>
      <c r="D57" s="26" t="str">
        <f aca="false">IF(C57=0,"Chưa có test","Có test")</f>
        <v>Có test</v>
      </c>
    </row>
    <row r="58" customFormat="false" ht="15" hidden="false" customHeight="true" outlineLevel="0" collapsed="false">
      <c r="A58" s="26" t="s">
        <v>1014</v>
      </c>
      <c r="B58" s="6" t="s">
        <v>1355</v>
      </c>
      <c r="C58" s="26" t="n">
        <f aca="false">SUMPRODUCT(--ISNUMBER(SEARCH(" "&amp;$A58&amp;",", " "&amp;'Test Scenarios'!$C$2:$C$181&amp;","))) + SUMPRODUCT(--ISNUMBER(SEARCH(" "&amp;$A58&amp;",", " "&amp;'Test Scenarios'!$D$2:$D$181&amp;",")))</f>
        <v>1</v>
      </c>
      <c r="D58" s="26" t="str">
        <f aca="false">IF(C58=0,"Chưa có test","Có test")</f>
        <v>Có test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2026-09-10T08:24:19Z</dcterms:created>
  <dc:creator>openpyxl</dc:creator>
  <dc:description/>
  <dc:language>en-US</dc:language>
  <cp:lastModifiedBy/>
  <dcterms:modified xsi:type="dcterms:W3CDTF">2026-10-01T02:07:57Z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